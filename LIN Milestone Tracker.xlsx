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bseglobal-my.sharepoint.com/personal/mscotto_bkse_com/Documents/"/>
    </mc:Choice>
  </mc:AlternateContent>
  <xr:revisionPtr revIDLastSave="13728" documentId="8_{002D831F-501F-4BD1-B810-9488CD58C6C5}" xr6:coauthVersionLast="47" xr6:coauthVersionMax="47" xr10:uidLastSave="{768AF189-6EB7-42C6-96B4-3BA0DABBDE9D}"/>
  <bookViews>
    <workbookView xWindow="-110" yWindow="-110" windowWidth="22780" windowHeight="14540" activeTab="13" xr2:uid="{42D5FB88-AF03-4F6D-A712-75B755A79336}"/>
  </bookViews>
  <sheets>
    <sheet name="LIN Milestones 2025-26 Season" sheetId="1" r:id="rId1"/>
    <sheet name="LIN Playoff Milestones 2025-26" sheetId="27" r:id="rId2"/>
    <sheet name="Mfon Udofia" sheetId="24" r:id="rId3"/>
    <sheet name="Hunter Cattoor" sheetId="10" r:id="rId4"/>
    <sheet name="Yuri Collins" sheetId="2" state="hidden" r:id="rId5"/>
    <sheet name="D'Andre Davis" sheetId="11" r:id="rId6"/>
    <sheet name="Tyson Etienne" sheetId="12" r:id="rId7"/>
    <sheet name="Javon Freeman-Liberty" sheetId="26" r:id="rId8"/>
    <sheet name="Ray Harrison" sheetId="25" r:id="rId9"/>
    <sheet name="Chaney Johnson" sheetId="19" r:id="rId10"/>
    <sheet name="E.J. Liddell" sheetId="13" r:id="rId11"/>
    <sheet name="Jamal Mashburn Jr." sheetId="20" r:id="rId12"/>
    <sheet name="Josh Minott" sheetId="22" r:id="rId13"/>
    <sheet name="David Muoka" sheetId="4" r:id="rId14"/>
    <sheet name="Grant Nelson" sheetId="14" r:id="rId15"/>
    <sheet name="Drake Powell" sheetId="18" r:id="rId16"/>
    <sheet name="Terry Roberts" sheetId="5" r:id="rId17"/>
    <sheet name="Ben Saraf" sheetId="15" r:id="rId18"/>
    <sheet name="Alex Schumacher" sheetId="21" r:id="rId19"/>
    <sheet name="Trevon Scott" sheetId="6" r:id="rId20"/>
    <sheet name="Jay Scrubb" sheetId="7" state="hidden" r:id="rId21"/>
    <sheet name="Malachi Smith" sheetId="8" r:id="rId22"/>
    <sheet name="Nolan Traore" sheetId="17" r:id="rId23"/>
    <sheet name="Nate Williams" sheetId="9" state="hidden" r:id="rId24"/>
    <sheet name="Jahlil White" sheetId="23" r:id="rId25"/>
    <sheet name="Danny Wolf" sheetId="16" r:id="rId26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4" l="1"/>
  <c r="B26" i="8"/>
  <c r="B25" i="8"/>
  <c r="B24" i="8"/>
  <c r="B23" i="8"/>
  <c r="D8" i="27" s="1"/>
  <c r="E8" i="27" s="1"/>
  <c r="B22" i="8"/>
  <c r="D21" i="27" s="1"/>
  <c r="E21" i="27" s="1"/>
  <c r="B21" i="8"/>
  <c r="B20" i="8"/>
  <c r="B19" i="8"/>
  <c r="D13" i="27" s="1"/>
  <c r="E13" i="27" s="1"/>
  <c r="B18" i="8"/>
  <c r="D22" i="27" s="1"/>
  <c r="E22" i="27" s="1"/>
  <c r="B17" i="8"/>
  <c r="D31" i="27" s="1"/>
  <c r="E31" i="27" s="1"/>
  <c r="B16" i="8"/>
  <c r="D43" i="27" s="1"/>
  <c r="E43" i="27" s="1"/>
  <c r="B26" i="23"/>
  <c r="B25" i="23"/>
  <c r="B24" i="23"/>
  <c r="B23" i="23"/>
  <c r="B22" i="23"/>
  <c r="B21" i="23"/>
  <c r="B20" i="23"/>
  <c r="B19" i="23"/>
  <c r="B18" i="23"/>
  <c r="B17" i="23"/>
  <c r="B16" i="23"/>
  <c r="B26" i="20"/>
  <c r="B25" i="20"/>
  <c r="B24" i="20"/>
  <c r="B23" i="20"/>
  <c r="B22" i="20"/>
  <c r="B21" i="20"/>
  <c r="B20" i="20"/>
  <c r="B19" i="20"/>
  <c r="B18" i="20"/>
  <c r="B17" i="20"/>
  <c r="B16" i="20"/>
  <c r="B26" i="13"/>
  <c r="B25" i="13"/>
  <c r="B24" i="13"/>
  <c r="B23" i="13"/>
  <c r="D5" i="27" s="1"/>
  <c r="E5" i="27" s="1"/>
  <c r="B22" i="13"/>
  <c r="B21" i="13"/>
  <c r="B20" i="13"/>
  <c r="D24" i="27" s="1"/>
  <c r="E24" i="27" s="1"/>
  <c r="B19" i="13"/>
  <c r="D20" i="27" s="1"/>
  <c r="E20" i="27" s="1"/>
  <c r="B18" i="13"/>
  <c r="B17" i="13"/>
  <c r="D29" i="27" s="1"/>
  <c r="E29" i="27" s="1"/>
  <c r="B16" i="13"/>
  <c r="D33" i="27" s="1"/>
  <c r="E33" i="27" s="1"/>
  <c r="B26" i="19"/>
  <c r="B25" i="19"/>
  <c r="B24" i="19"/>
  <c r="B23" i="19"/>
  <c r="D6" i="27" s="1"/>
  <c r="E6" i="27" s="1"/>
  <c r="B22" i="19"/>
  <c r="B21" i="19"/>
  <c r="B20" i="19"/>
  <c r="D26" i="27" s="1"/>
  <c r="E26" i="27" s="1"/>
  <c r="B19" i="19"/>
  <c r="D15" i="27" s="1"/>
  <c r="E15" i="27" s="1"/>
  <c r="B18" i="19"/>
  <c r="B17" i="19"/>
  <c r="D32" i="27" s="1"/>
  <c r="E32" i="27" s="1"/>
  <c r="B16" i="19"/>
  <c r="D37" i="27" s="1"/>
  <c r="E37" i="27" s="1"/>
  <c r="B26" i="25"/>
  <c r="B25" i="25"/>
  <c r="B24" i="25"/>
  <c r="B23" i="25"/>
  <c r="B22" i="25"/>
  <c r="B21" i="25"/>
  <c r="B20" i="25"/>
  <c r="B19" i="25"/>
  <c r="B18" i="25"/>
  <c r="B17" i="25"/>
  <c r="B16" i="25"/>
  <c r="B26" i="26"/>
  <c r="B25" i="26"/>
  <c r="B24" i="26"/>
  <c r="B23" i="26"/>
  <c r="B22" i="26"/>
  <c r="B21" i="26"/>
  <c r="B20" i="26"/>
  <c r="B19" i="26"/>
  <c r="B18" i="26"/>
  <c r="B17" i="26"/>
  <c r="B16" i="26"/>
  <c r="B26" i="12"/>
  <c r="B25" i="12"/>
  <c r="B24" i="12"/>
  <c r="B23" i="12"/>
  <c r="D7" i="27" s="1"/>
  <c r="E7" i="27" s="1"/>
  <c r="B22" i="12"/>
  <c r="D23" i="27" s="1"/>
  <c r="E23" i="27" s="1"/>
  <c r="B21" i="12"/>
  <c r="B20" i="12"/>
  <c r="B19" i="12"/>
  <c r="D14" i="27" s="1"/>
  <c r="E14" i="27" s="1"/>
  <c r="B18" i="12"/>
  <c r="D28" i="27" s="1"/>
  <c r="E28" i="27" s="1"/>
  <c r="B17" i="12"/>
  <c r="B16" i="12"/>
  <c r="D48" i="27" s="1"/>
  <c r="E48" i="27" s="1"/>
  <c r="B26" i="11"/>
  <c r="B25" i="11"/>
  <c r="B24" i="11"/>
  <c r="B23" i="11"/>
  <c r="B22" i="11"/>
  <c r="B21" i="11"/>
  <c r="B20" i="11"/>
  <c r="B19" i="11"/>
  <c r="B18" i="11"/>
  <c r="B17" i="11"/>
  <c r="B16" i="11"/>
  <c r="B17" i="10"/>
  <c r="B18" i="10"/>
  <c r="B19" i="10"/>
  <c r="B20" i="10"/>
  <c r="B21" i="10"/>
  <c r="B22" i="10"/>
  <c r="B23" i="10"/>
  <c r="B24" i="10"/>
  <c r="B25" i="10"/>
  <c r="B26" i="10"/>
  <c r="B16" i="10"/>
  <c r="D39" i="27"/>
  <c r="E39" i="27"/>
  <c r="D45" i="27"/>
  <c r="D41" i="27"/>
  <c r="D25" i="27"/>
  <c r="D30" i="27"/>
  <c r="D47" i="27"/>
  <c r="D40" i="27"/>
  <c r="B26" i="5"/>
  <c r="B25" i="5"/>
  <c r="B24" i="5"/>
  <c r="B23" i="5"/>
  <c r="D4" i="27" s="1"/>
  <c r="E4" i="27" s="1"/>
  <c r="B22" i="5"/>
  <c r="B21" i="5"/>
  <c r="B20" i="5"/>
  <c r="B19" i="5"/>
  <c r="D18" i="27" s="1"/>
  <c r="B18" i="5"/>
  <c r="D27" i="27" s="1"/>
  <c r="B17" i="5"/>
  <c r="B16" i="5"/>
  <c r="D46" i="27" s="1"/>
  <c r="D16" i="4"/>
  <c r="D42" i="27"/>
  <c r="B2" i="10"/>
  <c r="E45" i="27"/>
  <c r="E18" i="27"/>
  <c r="E46" i="27"/>
  <c r="E27" i="27"/>
  <c r="E25" i="27"/>
  <c r="E47" i="27"/>
  <c r="E40" i="27"/>
  <c r="E30" i="27"/>
  <c r="E41" i="27"/>
  <c r="E42" i="27"/>
  <c r="C7" i="24"/>
  <c r="C3" i="24"/>
  <c r="C6" i="24"/>
  <c r="D9" i="27" s="1"/>
  <c r="E9" i="27" s="1"/>
  <c r="C2" i="24"/>
  <c r="D26" i="21"/>
  <c r="B26" i="21"/>
  <c r="D25" i="21"/>
  <c r="B25" i="21"/>
  <c r="D24" i="21"/>
  <c r="B24" i="21"/>
  <c r="D23" i="21"/>
  <c r="B23" i="21"/>
  <c r="D22" i="21"/>
  <c r="B22" i="21"/>
  <c r="D21" i="21"/>
  <c r="B21" i="21"/>
  <c r="D20" i="21"/>
  <c r="B20" i="21"/>
  <c r="D19" i="21"/>
  <c r="B19" i="21"/>
  <c r="D18" i="21"/>
  <c r="B18" i="21"/>
  <c r="D17" i="21"/>
  <c r="B17" i="21"/>
  <c r="D16" i="21"/>
  <c r="B16" i="21"/>
  <c r="D17" i="6"/>
  <c r="D34" i="27" s="1"/>
  <c r="E34" i="27" s="1"/>
  <c r="D18" i="6"/>
  <c r="D19" i="6"/>
  <c r="D16" i="27" s="1"/>
  <c r="E16" i="27" s="1"/>
  <c r="D20" i="6"/>
  <c r="D21" i="6"/>
  <c r="D22" i="6"/>
  <c r="D23" i="6"/>
  <c r="D24" i="6"/>
  <c r="D25" i="6"/>
  <c r="D26" i="6"/>
  <c r="D16" i="6"/>
  <c r="D44" i="27" s="1"/>
  <c r="E44" i="27" s="1"/>
  <c r="D17" i="4"/>
  <c r="B17" i="6"/>
  <c r="D38" i="27" s="1"/>
  <c r="E38" i="27" s="1"/>
  <c r="B18" i="6"/>
  <c r="B19" i="6"/>
  <c r="B20" i="6"/>
  <c r="B21" i="6"/>
  <c r="B22" i="6"/>
  <c r="B23" i="6"/>
  <c r="D3" i="27" s="1"/>
  <c r="E3" i="27" s="1"/>
  <c r="B24" i="6"/>
  <c r="B25" i="6"/>
  <c r="B26" i="6"/>
  <c r="B16" i="6"/>
  <c r="D36" i="27" s="1"/>
  <c r="E36" i="27" s="1"/>
  <c r="B16" i="4"/>
  <c r="D35" i="27" s="1"/>
  <c r="E35" i="27" s="1"/>
  <c r="B17" i="4"/>
  <c r="D11" i="27" s="1"/>
  <c r="E11" i="27" s="1"/>
  <c r="B18" i="4"/>
  <c r="B19" i="4"/>
  <c r="B20" i="4"/>
  <c r="D12" i="27" s="1"/>
  <c r="E12" i="27" s="1"/>
  <c r="B21" i="4"/>
  <c r="B22" i="4"/>
  <c r="B23" i="4"/>
  <c r="D2" i="27" s="1"/>
  <c r="E2" i="27" s="1"/>
  <c r="B24" i="4"/>
  <c r="B25" i="4"/>
  <c r="B26" i="4"/>
  <c r="D10" i="27" s="1"/>
  <c r="E10" i="27" s="1"/>
  <c r="D18" i="4"/>
  <c r="D19" i="4"/>
  <c r="D20" i="4"/>
  <c r="D21" i="4"/>
  <c r="D22" i="4"/>
  <c r="D23" i="4"/>
  <c r="D24" i="4"/>
  <c r="D25" i="4"/>
  <c r="D26" i="4"/>
  <c r="F2" i="4"/>
  <c r="B2" i="4"/>
  <c r="D19" i="27"/>
  <c r="E19" i="27" s="1"/>
  <c r="D17" i="27"/>
  <c r="E17" i="27" s="1"/>
  <c r="B10" i="19"/>
  <c r="B11" i="19"/>
  <c r="D12" i="26"/>
  <c r="D11" i="26"/>
  <c r="D10" i="26"/>
  <c r="D9" i="26"/>
  <c r="D8" i="26"/>
  <c r="D7" i="26"/>
  <c r="D6" i="26"/>
  <c r="D5" i="26"/>
  <c r="D4" i="26"/>
  <c r="D3" i="26"/>
  <c r="D2" i="26"/>
  <c r="E12" i="26"/>
  <c r="B12" i="26"/>
  <c r="E11" i="26"/>
  <c r="B11" i="26"/>
  <c r="E10" i="26"/>
  <c r="B10" i="26"/>
  <c r="E9" i="26"/>
  <c r="B9" i="26"/>
  <c r="E8" i="26"/>
  <c r="B8" i="26"/>
  <c r="E7" i="26"/>
  <c r="B7" i="26"/>
  <c r="E6" i="26"/>
  <c r="B6" i="26"/>
  <c r="E5" i="26"/>
  <c r="B5" i="26"/>
  <c r="D14" i="1" s="1"/>
  <c r="E14" i="1" s="1"/>
  <c r="E4" i="26"/>
  <c r="B4" i="26"/>
  <c r="D31" i="1" s="1"/>
  <c r="E31" i="1" s="1"/>
  <c r="E3" i="26"/>
  <c r="B3" i="26"/>
  <c r="D90" i="1" s="1"/>
  <c r="E90" i="1" s="1"/>
  <c r="E2" i="26"/>
  <c r="B2" i="26"/>
  <c r="D96" i="1" s="1"/>
  <c r="E96" i="1" s="1"/>
  <c r="B10" i="25"/>
  <c r="B9" i="25"/>
  <c r="E12" i="25"/>
  <c r="D12" i="25"/>
  <c r="B12" i="25"/>
  <c r="E11" i="25"/>
  <c r="D11" i="25"/>
  <c r="B11" i="25"/>
  <c r="E10" i="25"/>
  <c r="D10" i="25"/>
  <c r="E9" i="25"/>
  <c r="D9" i="25"/>
  <c r="E8" i="25"/>
  <c r="D8" i="25"/>
  <c r="B8" i="25"/>
  <c r="E7" i="25"/>
  <c r="D7" i="25"/>
  <c r="B7" i="25"/>
  <c r="E6" i="25"/>
  <c r="D6" i="25"/>
  <c r="B6" i="25"/>
  <c r="E5" i="25"/>
  <c r="D5" i="25"/>
  <c r="B5" i="25"/>
  <c r="D47" i="1" s="1"/>
  <c r="E47" i="1" s="1"/>
  <c r="E4" i="25"/>
  <c r="D4" i="25"/>
  <c r="B4" i="25"/>
  <c r="D88" i="1" s="1"/>
  <c r="E88" i="1" s="1"/>
  <c r="E3" i="25"/>
  <c r="D3" i="25"/>
  <c r="B3" i="25"/>
  <c r="D84" i="1" s="1"/>
  <c r="E84" i="1" s="1"/>
  <c r="E2" i="25"/>
  <c r="D2" i="25"/>
  <c r="B2" i="25"/>
  <c r="D78" i="1" s="1"/>
  <c r="E78" i="1" s="1"/>
  <c r="D5" i="1"/>
  <c r="E5" i="1" s="1"/>
  <c r="B12" i="10"/>
  <c r="B3" i="24"/>
  <c r="B9" i="4"/>
  <c r="D12" i="8"/>
  <c r="D11" i="8"/>
  <c r="D10" i="8"/>
  <c r="D9" i="8"/>
  <c r="D8" i="8"/>
  <c r="D7" i="8"/>
  <c r="D6" i="8"/>
  <c r="D5" i="8"/>
  <c r="D4" i="8"/>
  <c r="D3" i="8"/>
  <c r="D2" i="8"/>
  <c r="B12" i="8"/>
  <c r="B11" i="8"/>
  <c r="B10" i="8"/>
  <c r="B4" i="8"/>
  <c r="B6" i="8"/>
  <c r="B7" i="8"/>
  <c r="B9" i="8"/>
  <c r="B8" i="8"/>
  <c r="B5" i="8"/>
  <c r="B3" i="8"/>
  <c r="B2" i="8"/>
  <c r="E11" i="6"/>
  <c r="E6" i="6"/>
  <c r="E9" i="6"/>
  <c r="E10" i="6"/>
  <c r="E12" i="6"/>
  <c r="D15" i="1" s="1"/>
  <c r="E15" i="1" s="1"/>
  <c r="E8" i="6"/>
  <c r="E7" i="6"/>
  <c r="E5" i="6"/>
  <c r="D2" i="1" s="1"/>
  <c r="E2" i="1" s="1"/>
  <c r="E4" i="6"/>
  <c r="E3" i="6"/>
  <c r="E2" i="6"/>
  <c r="B9" i="6"/>
  <c r="B10" i="6"/>
  <c r="B12" i="6"/>
  <c r="B11" i="6"/>
  <c r="B8" i="6"/>
  <c r="B7" i="6"/>
  <c r="B6" i="6"/>
  <c r="B5" i="6"/>
  <c r="B4" i="6"/>
  <c r="B3" i="6"/>
  <c r="B2" i="6"/>
  <c r="D10" i="5"/>
  <c r="D9" i="5"/>
  <c r="D12" i="5"/>
  <c r="D11" i="5"/>
  <c r="D8" i="5"/>
  <c r="D7" i="5"/>
  <c r="D6" i="5"/>
  <c r="D5" i="5"/>
  <c r="D4" i="5"/>
  <c r="D3" i="5"/>
  <c r="D2" i="5"/>
  <c r="B12" i="5"/>
  <c r="D3" i="1" s="1"/>
  <c r="E3" i="1" s="1"/>
  <c r="B11" i="5"/>
  <c r="B10" i="5"/>
  <c r="B9" i="5"/>
  <c r="B8" i="5"/>
  <c r="B7" i="5"/>
  <c r="B6" i="5"/>
  <c r="B5" i="5"/>
  <c r="B4" i="5"/>
  <c r="B3" i="5"/>
  <c r="B2" i="5"/>
  <c r="E10" i="4"/>
  <c r="E9" i="4"/>
  <c r="D10" i="13"/>
  <c r="D12" i="13"/>
  <c r="D9" i="13"/>
  <c r="D8" i="13"/>
  <c r="D7" i="13"/>
  <c r="D6" i="13"/>
  <c r="D5" i="13"/>
  <c r="D4" i="13"/>
  <c r="D3" i="13"/>
  <c r="D2" i="13"/>
  <c r="B12" i="13"/>
  <c r="B11" i="13"/>
  <c r="B10" i="13"/>
  <c r="B9" i="13"/>
  <c r="B8" i="13"/>
  <c r="B7" i="13"/>
  <c r="B6" i="13"/>
  <c r="B5" i="13"/>
  <c r="B4" i="13"/>
  <c r="B3" i="13"/>
  <c r="B2" i="13"/>
  <c r="D12" i="19"/>
  <c r="D11" i="19"/>
  <c r="D10" i="19"/>
  <c r="D9" i="19"/>
  <c r="D8" i="19"/>
  <c r="D7" i="19"/>
  <c r="D6" i="19"/>
  <c r="D5" i="19"/>
  <c r="D4" i="19"/>
  <c r="D3" i="19"/>
  <c r="D2" i="19"/>
  <c r="E12" i="19"/>
  <c r="E11" i="19"/>
  <c r="E10" i="19"/>
  <c r="E9" i="19"/>
  <c r="E8" i="19"/>
  <c r="E7" i="19"/>
  <c r="E6" i="19"/>
  <c r="E5" i="19"/>
  <c r="E4" i="19"/>
  <c r="E3" i="19"/>
  <c r="E2" i="19"/>
  <c r="B12" i="19"/>
  <c r="B9" i="19"/>
  <c r="B8" i="19"/>
  <c r="B7" i="19"/>
  <c r="B6" i="19"/>
  <c r="B5" i="19"/>
  <c r="B4" i="19"/>
  <c r="B3" i="19"/>
  <c r="B2" i="19"/>
  <c r="B10" i="12"/>
  <c r="B9" i="12"/>
  <c r="C12" i="11"/>
  <c r="B11" i="11"/>
  <c r="C11" i="11"/>
  <c r="C10" i="11"/>
  <c r="C9" i="11"/>
  <c r="C7" i="11"/>
  <c r="C3" i="11"/>
  <c r="C2" i="11"/>
  <c r="B12" i="11"/>
  <c r="B10" i="11"/>
  <c r="B8" i="11"/>
  <c r="B7" i="11"/>
  <c r="B6" i="11"/>
  <c r="B5" i="11"/>
  <c r="B4" i="11"/>
  <c r="B3" i="11"/>
  <c r="B2" i="11"/>
  <c r="C11" i="10"/>
  <c r="C10" i="10"/>
  <c r="C8" i="10"/>
  <c r="C7" i="10"/>
  <c r="C5" i="10"/>
  <c r="C4" i="10"/>
  <c r="C3" i="10"/>
  <c r="B11" i="10"/>
  <c r="B10" i="10"/>
  <c r="B9" i="10"/>
  <c r="B8" i="10"/>
  <c r="B7" i="10"/>
  <c r="B6" i="10"/>
  <c r="B5" i="10"/>
  <c r="B4" i="10"/>
  <c r="B3" i="10"/>
  <c r="E12" i="4"/>
  <c r="D12" i="1" s="1"/>
  <c r="E12" i="1" s="1"/>
  <c r="E11" i="4"/>
  <c r="E8" i="4"/>
  <c r="E7" i="4"/>
  <c r="E6" i="4"/>
  <c r="E5" i="4"/>
  <c r="E4" i="4"/>
  <c r="E3" i="4"/>
  <c r="E2" i="4"/>
  <c r="B12" i="4"/>
  <c r="B11" i="4"/>
  <c r="B10" i="4"/>
  <c r="B8" i="4"/>
  <c r="B7" i="4"/>
  <c r="B6" i="4"/>
  <c r="B5" i="4"/>
  <c r="B4" i="4"/>
  <c r="B3" i="4"/>
  <c r="E12" i="23"/>
  <c r="D12" i="23"/>
  <c r="B12" i="23"/>
  <c r="E11" i="23"/>
  <c r="D11" i="23"/>
  <c r="B11" i="23"/>
  <c r="E10" i="23"/>
  <c r="D10" i="23"/>
  <c r="E9" i="23"/>
  <c r="D9" i="23"/>
  <c r="B9" i="23"/>
  <c r="E8" i="23"/>
  <c r="D8" i="23"/>
  <c r="B8" i="23"/>
  <c r="E7" i="23"/>
  <c r="D7" i="23"/>
  <c r="B7" i="23"/>
  <c r="E6" i="23"/>
  <c r="D6" i="23"/>
  <c r="B6" i="23"/>
  <c r="E5" i="23"/>
  <c r="D5" i="23"/>
  <c r="B5" i="23"/>
  <c r="E4" i="23"/>
  <c r="D4" i="23"/>
  <c r="B4" i="23"/>
  <c r="D73" i="1" s="1"/>
  <c r="E73" i="1" s="1"/>
  <c r="E3" i="23"/>
  <c r="D3" i="23"/>
  <c r="B3" i="23"/>
  <c r="D42" i="1" s="1"/>
  <c r="E42" i="1" s="1"/>
  <c r="E2" i="23"/>
  <c r="D2" i="23"/>
  <c r="B2" i="23"/>
  <c r="D35" i="1" s="1"/>
  <c r="E35" i="1" s="1"/>
  <c r="B10" i="22"/>
  <c r="B9" i="22"/>
  <c r="D12" i="22"/>
  <c r="D11" i="22"/>
  <c r="D10" i="22"/>
  <c r="D9" i="22"/>
  <c r="D8" i="22"/>
  <c r="D7" i="22"/>
  <c r="D6" i="22"/>
  <c r="D5" i="22"/>
  <c r="D4" i="22"/>
  <c r="D2" i="22"/>
  <c r="D3" i="22"/>
  <c r="E10" i="22"/>
  <c r="E12" i="22"/>
  <c r="B12" i="22"/>
  <c r="E11" i="22"/>
  <c r="B11" i="22"/>
  <c r="E9" i="22"/>
  <c r="E8" i="22"/>
  <c r="B8" i="22"/>
  <c r="E7" i="22"/>
  <c r="B7" i="22"/>
  <c r="E6" i="22"/>
  <c r="B6" i="22"/>
  <c r="E5" i="22"/>
  <c r="B5" i="22"/>
  <c r="E4" i="22"/>
  <c r="B4" i="22"/>
  <c r="D13" i="1" s="1"/>
  <c r="E13" i="1" s="1"/>
  <c r="E3" i="22"/>
  <c r="B3" i="22"/>
  <c r="D58" i="1" s="1"/>
  <c r="E58" i="1" s="1"/>
  <c r="E2" i="22"/>
  <c r="B2" i="22"/>
  <c r="D61" i="1" s="1"/>
  <c r="E61" i="1" s="1"/>
  <c r="B12" i="16"/>
  <c r="B11" i="16"/>
  <c r="B10" i="16"/>
  <c r="B9" i="16"/>
  <c r="B8" i="16"/>
  <c r="B7" i="16"/>
  <c r="B6" i="16"/>
  <c r="B5" i="16"/>
  <c r="B4" i="16"/>
  <c r="B3" i="16"/>
  <c r="B2" i="16"/>
  <c r="B12" i="17"/>
  <c r="B11" i="17"/>
  <c r="B10" i="17"/>
  <c r="B9" i="17"/>
  <c r="B8" i="17"/>
  <c r="B7" i="17"/>
  <c r="B6" i="17"/>
  <c r="B5" i="17"/>
  <c r="B4" i="17"/>
  <c r="B3" i="17"/>
  <c r="B2" i="17"/>
  <c r="F10" i="21"/>
  <c r="F9" i="21"/>
  <c r="E10" i="21"/>
  <c r="E9" i="21"/>
  <c r="E8" i="21"/>
  <c r="B12" i="15"/>
  <c r="B11" i="15"/>
  <c r="B10" i="15"/>
  <c r="B9" i="15"/>
  <c r="B8" i="15"/>
  <c r="B7" i="15"/>
  <c r="B6" i="15"/>
  <c r="B5" i="15"/>
  <c r="B4" i="15"/>
  <c r="B3" i="15"/>
  <c r="B2" i="15"/>
  <c r="D12" i="15"/>
  <c r="D11" i="15"/>
  <c r="D10" i="15"/>
  <c r="C10" i="15"/>
  <c r="D9" i="15"/>
  <c r="D8" i="15"/>
  <c r="D7" i="15"/>
  <c r="D6" i="15"/>
  <c r="D5" i="15"/>
  <c r="D4" i="15"/>
  <c r="D3" i="15"/>
  <c r="D2" i="15"/>
  <c r="C12" i="15"/>
  <c r="C11" i="15"/>
  <c r="C9" i="15"/>
  <c r="C8" i="15"/>
  <c r="C7" i="15"/>
  <c r="C6" i="15"/>
  <c r="C5" i="15"/>
  <c r="C4" i="15"/>
  <c r="C3" i="15"/>
  <c r="C2" i="15"/>
  <c r="B12" i="18"/>
  <c r="B11" i="18"/>
  <c r="B10" i="18"/>
  <c r="B9" i="18"/>
  <c r="B8" i="18"/>
  <c r="B7" i="18"/>
  <c r="B6" i="18"/>
  <c r="B5" i="18"/>
  <c r="B4" i="18"/>
  <c r="D81" i="1" s="1"/>
  <c r="E81" i="1" s="1"/>
  <c r="B3" i="18"/>
  <c r="D70" i="1" s="1"/>
  <c r="E70" i="1" s="1"/>
  <c r="B2" i="18"/>
  <c r="D45" i="1" s="1"/>
  <c r="E45" i="1" s="1"/>
  <c r="D10" i="14"/>
  <c r="C10" i="14"/>
  <c r="B10" i="14"/>
  <c r="B12" i="14"/>
  <c r="B11" i="14"/>
  <c r="B9" i="14"/>
  <c r="B8" i="14"/>
  <c r="B7" i="14"/>
  <c r="B6" i="14"/>
  <c r="B5" i="14"/>
  <c r="B4" i="14"/>
  <c r="B3" i="14"/>
  <c r="B2" i="14"/>
  <c r="D12" i="14"/>
  <c r="D11" i="14"/>
  <c r="D8" i="14"/>
  <c r="D7" i="14"/>
  <c r="D6" i="14"/>
  <c r="D5" i="14"/>
  <c r="D4" i="14"/>
  <c r="D3" i="14"/>
  <c r="D2" i="14"/>
  <c r="C12" i="14"/>
  <c r="C11" i="14"/>
  <c r="C8" i="14"/>
  <c r="C7" i="14"/>
  <c r="C6" i="14"/>
  <c r="C5" i="14"/>
  <c r="C4" i="14"/>
  <c r="C3" i="14"/>
  <c r="C2" i="14"/>
  <c r="C2" i="10"/>
  <c r="D28" i="1"/>
  <c r="E28" i="1" s="1"/>
  <c r="F3" i="12"/>
  <c r="F4" i="12"/>
  <c r="F5" i="12"/>
  <c r="F6" i="12"/>
  <c r="F7" i="12"/>
  <c r="F8" i="12"/>
  <c r="F9" i="12"/>
  <c r="F10" i="12"/>
  <c r="F11" i="12"/>
  <c r="F12" i="12"/>
  <c r="F2" i="12"/>
  <c r="E2" i="12"/>
  <c r="E12" i="12"/>
  <c r="D16" i="1" s="1"/>
  <c r="E16" i="1" s="1"/>
  <c r="E11" i="12"/>
  <c r="E10" i="12"/>
  <c r="E9" i="12"/>
  <c r="E8" i="12"/>
  <c r="E3" i="12"/>
  <c r="E4" i="12"/>
  <c r="E7" i="12"/>
  <c r="E6" i="12"/>
  <c r="E5" i="12"/>
  <c r="D4" i="1" s="1"/>
  <c r="E4" i="1" s="1"/>
  <c r="B12" i="12"/>
  <c r="B11" i="12"/>
  <c r="B8" i="12"/>
  <c r="B6" i="12"/>
  <c r="B7" i="12"/>
  <c r="B5" i="12"/>
  <c r="B4" i="12"/>
  <c r="B3" i="12"/>
  <c r="B2" i="12"/>
  <c r="B12" i="9"/>
  <c r="B11" i="9"/>
  <c r="B9" i="9"/>
  <c r="B8" i="9"/>
  <c r="B7" i="9"/>
  <c r="B6" i="9"/>
  <c r="B5" i="9"/>
  <c r="B4" i="9"/>
  <c r="B3" i="9"/>
  <c r="B2" i="9"/>
  <c r="D12" i="9"/>
  <c r="D11" i="9"/>
  <c r="D9" i="9"/>
  <c r="D8" i="9"/>
  <c r="D7" i="9"/>
  <c r="D6" i="9"/>
  <c r="D5" i="9"/>
  <c r="D4" i="9"/>
  <c r="D3" i="9"/>
  <c r="D2" i="9"/>
  <c r="D94" i="1"/>
  <c r="E94" i="1" s="1"/>
  <c r="F12" i="21"/>
  <c r="F11" i="21"/>
  <c r="F8" i="21"/>
  <c r="F7" i="21"/>
  <c r="F6" i="21"/>
  <c r="F5" i="21"/>
  <c r="F4" i="21"/>
  <c r="F3" i="21"/>
  <c r="F2" i="21"/>
  <c r="B12" i="21"/>
  <c r="B11" i="21"/>
  <c r="B9" i="21"/>
  <c r="B8" i="21"/>
  <c r="B7" i="21"/>
  <c r="B6" i="21"/>
  <c r="B5" i="21"/>
  <c r="D37" i="1" s="1"/>
  <c r="E37" i="1" s="1"/>
  <c r="B4" i="21"/>
  <c r="D39" i="1" s="1"/>
  <c r="E39" i="1" s="1"/>
  <c r="B3" i="21"/>
  <c r="D67" i="1" s="1"/>
  <c r="E67" i="1" s="1"/>
  <c r="B2" i="21"/>
  <c r="D59" i="1" s="1"/>
  <c r="E59" i="1" s="1"/>
  <c r="E12" i="21"/>
  <c r="E11" i="21"/>
  <c r="E7" i="21"/>
  <c r="E6" i="21"/>
  <c r="E5" i="21"/>
  <c r="E4" i="21"/>
  <c r="E3" i="21"/>
  <c r="E2" i="21"/>
  <c r="E12" i="20"/>
  <c r="D12" i="20"/>
  <c r="B12" i="20"/>
  <c r="E11" i="20"/>
  <c r="D11" i="20"/>
  <c r="B11" i="20"/>
  <c r="E10" i="20"/>
  <c r="D10" i="20"/>
  <c r="E9" i="20"/>
  <c r="D9" i="20"/>
  <c r="B9" i="20"/>
  <c r="E8" i="20"/>
  <c r="D8" i="20"/>
  <c r="B8" i="20"/>
  <c r="E7" i="20"/>
  <c r="D7" i="20"/>
  <c r="B7" i="20"/>
  <c r="E6" i="20"/>
  <c r="D6" i="20"/>
  <c r="B6" i="20"/>
  <c r="E5" i="20"/>
  <c r="D5" i="20"/>
  <c r="B5" i="20"/>
  <c r="E4" i="20"/>
  <c r="D4" i="20"/>
  <c r="B4" i="20"/>
  <c r="D80" i="1" s="1"/>
  <c r="E80" i="1" s="1"/>
  <c r="E3" i="20"/>
  <c r="D3" i="20"/>
  <c r="B3" i="20"/>
  <c r="D69" i="1" s="1"/>
  <c r="E69" i="1" s="1"/>
  <c r="E2" i="20"/>
  <c r="D2" i="20"/>
  <c r="B2" i="20"/>
  <c r="D71" i="1" s="1"/>
  <c r="E71" i="1" s="1"/>
  <c r="D44" i="1"/>
  <c r="E44" i="1" s="1"/>
  <c r="D57" i="1"/>
  <c r="E57" i="1" s="1"/>
  <c r="D29" i="1"/>
  <c r="E29" i="1" s="1"/>
  <c r="D65" i="1"/>
  <c r="E65" i="1" s="1"/>
  <c r="D12" i="18"/>
  <c r="C12" i="18"/>
  <c r="D11" i="18"/>
  <c r="C11" i="18"/>
  <c r="D8" i="18"/>
  <c r="C8" i="18"/>
  <c r="D7" i="18"/>
  <c r="C7" i="18"/>
  <c r="D6" i="18"/>
  <c r="C6" i="18"/>
  <c r="D5" i="18"/>
  <c r="C5" i="18"/>
  <c r="D4" i="18"/>
  <c r="C4" i="18"/>
  <c r="D3" i="18"/>
  <c r="C3" i="18"/>
  <c r="D2" i="18"/>
  <c r="C2" i="18"/>
  <c r="D72" i="1"/>
  <c r="E72" i="1" s="1"/>
  <c r="D48" i="1"/>
  <c r="E48" i="1" s="1"/>
  <c r="D99" i="1"/>
  <c r="E99" i="1" s="1"/>
  <c r="D36" i="1"/>
  <c r="E36" i="1" s="1"/>
  <c r="D91" i="1"/>
  <c r="E91" i="1" s="1"/>
  <c r="D98" i="1"/>
  <c r="E98" i="1" s="1"/>
  <c r="D52" i="1"/>
  <c r="E52" i="1" s="1"/>
  <c r="D85" i="1"/>
  <c r="E85" i="1" s="1"/>
  <c r="D87" i="1"/>
  <c r="E87" i="1" s="1"/>
  <c r="D77" i="1"/>
  <c r="E77" i="1" s="1"/>
  <c r="D40" i="1"/>
  <c r="E40" i="1" s="1"/>
  <c r="D68" i="1"/>
  <c r="E68" i="1" s="1"/>
  <c r="D6" i="1"/>
  <c r="E6" i="1" s="1"/>
  <c r="D82" i="1"/>
  <c r="E82" i="1" s="1"/>
  <c r="D75" i="1"/>
  <c r="E75" i="1" s="1"/>
  <c r="B2" i="2"/>
  <c r="D60" i="1" s="1"/>
  <c r="E60" i="1" s="1"/>
  <c r="B3" i="2"/>
  <c r="D17" i="1" s="1"/>
  <c r="E17" i="1" s="1"/>
  <c r="D2" i="7"/>
  <c r="D43" i="1"/>
  <c r="E43" i="1" s="1"/>
  <c r="D34" i="1"/>
  <c r="E34" i="1" s="1"/>
  <c r="D50" i="1"/>
  <c r="E50" i="1" s="1"/>
  <c r="D12" i="17"/>
  <c r="C12" i="17"/>
  <c r="D11" i="17"/>
  <c r="C11" i="17"/>
  <c r="D9" i="17"/>
  <c r="C9" i="17"/>
  <c r="D8" i="17"/>
  <c r="C8" i="17"/>
  <c r="D7" i="17"/>
  <c r="C7" i="17"/>
  <c r="D6" i="17"/>
  <c r="C6" i="17"/>
  <c r="D5" i="17"/>
  <c r="C5" i="17"/>
  <c r="D4" i="17"/>
  <c r="C4" i="17"/>
  <c r="D3" i="17"/>
  <c r="C3" i="17"/>
  <c r="D2" i="17"/>
  <c r="C2" i="17"/>
  <c r="D12" i="16"/>
  <c r="C12" i="16"/>
  <c r="D11" i="16"/>
  <c r="C11" i="16"/>
  <c r="D9" i="16"/>
  <c r="C9" i="16"/>
  <c r="D8" i="16"/>
  <c r="C8" i="16"/>
  <c r="D7" i="16"/>
  <c r="C7" i="16"/>
  <c r="D6" i="16"/>
  <c r="C6" i="16"/>
  <c r="D5" i="16"/>
  <c r="C5" i="16"/>
  <c r="D4" i="16"/>
  <c r="C4" i="16"/>
  <c r="D3" i="16"/>
  <c r="C3" i="16"/>
  <c r="D2" i="16"/>
  <c r="C2" i="16"/>
  <c r="E12" i="7"/>
  <c r="D12" i="7"/>
  <c r="E11" i="7"/>
  <c r="D11" i="7"/>
  <c r="E9" i="7"/>
  <c r="D9" i="7"/>
  <c r="E8" i="7"/>
  <c r="D8" i="7"/>
  <c r="E7" i="7"/>
  <c r="D7" i="7"/>
  <c r="E6" i="7"/>
  <c r="D6" i="7"/>
  <c r="E5" i="7"/>
  <c r="D5" i="7"/>
  <c r="E4" i="7"/>
  <c r="D4" i="7"/>
  <c r="E3" i="7"/>
  <c r="D3" i="7"/>
  <c r="E2" i="7"/>
  <c r="D11" i="1"/>
  <c r="E11" i="1" s="1"/>
  <c r="D62" i="1"/>
  <c r="E62" i="1" s="1"/>
  <c r="D49" i="1"/>
  <c r="E49" i="1" s="1"/>
  <c r="D27" i="1"/>
  <c r="E27" i="1" s="1"/>
  <c r="E12" i="5"/>
  <c r="E11" i="5"/>
  <c r="E9" i="5"/>
  <c r="E8" i="5"/>
  <c r="E7" i="5"/>
  <c r="E6" i="5"/>
  <c r="E5" i="5"/>
  <c r="E4" i="5"/>
  <c r="E3" i="5"/>
  <c r="E2" i="5"/>
  <c r="F12" i="4"/>
  <c r="F11" i="4"/>
  <c r="F9" i="4"/>
  <c r="F7" i="4"/>
  <c r="F5" i="4"/>
  <c r="F4" i="4"/>
  <c r="F3" i="4"/>
  <c r="D2" i="2"/>
  <c r="E12" i="2"/>
  <c r="D12" i="2"/>
  <c r="E11" i="2"/>
  <c r="D11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63" i="1"/>
  <c r="E63" i="1" s="1"/>
  <c r="D38" i="1"/>
  <c r="E38" i="1" s="1"/>
  <c r="D22" i="1"/>
  <c r="E22" i="1" s="1"/>
  <c r="B10" i="2"/>
  <c r="D93" i="1"/>
  <c r="E93" i="1" s="1"/>
  <c r="B8" i="2"/>
  <c r="B12" i="7"/>
  <c r="B12" i="2"/>
  <c r="B11" i="7"/>
  <c r="B11" i="2"/>
  <c r="B10" i="9"/>
  <c r="B10" i="7"/>
  <c r="B9" i="7"/>
  <c r="B9" i="2"/>
  <c r="B8" i="7"/>
  <c r="B7" i="7"/>
  <c r="B7" i="2"/>
  <c r="B6" i="7"/>
  <c r="D24" i="1"/>
  <c r="E24" i="1" s="1"/>
  <c r="D79" i="1"/>
  <c r="E79" i="1" s="1"/>
  <c r="D9" i="1"/>
  <c r="E9" i="1" s="1"/>
  <c r="D26" i="1"/>
  <c r="E26" i="1" s="1"/>
  <c r="B5" i="7"/>
  <c r="D33" i="1"/>
  <c r="E33" i="1" s="1"/>
  <c r="D83" i="1"/>
  <c r="E83" i="1" s="1"/>
  <c r="D56" i="1"/>
  <c r="E56" i="1" s="1"/>
  <c r="B5" i="2"/>
  <c r="D19" i="1" s="1"/>
  <c r="E19" i="1" s="1"/>
  <c r="D23" i="1"/>
  <c r="E23" i="1" s="1"/>
  <c r="B4" i="7"/>
  <c r="D55" i="1"/>
  <c r="E55" i="1" s="1"/>
  <c r="D8" i="1"/>
  <c r="E8" i="1" s="1"/>
  <c r="D53" i="1"/>
  <c r="E53" i="1" s="1"/>
  <c r="D86" i="1"/>
  <c r="E86" i="1" s="1"/>
  <c r="B4" i="2"/>
  <c r="D54" i="1" s="1"/>
  <c r="E54" i="1" s="1"/>
  <c r="D20" i="1"/>
  <c r="E20" i="1" s="1"/>
  <c r="B3" i="7"/>
  <c r="D95" i="1"/>
  <c r="E95" i="1" s="1"/>
  <c r="D30" i="1"/>
  <c r="E30" i="1" s="1"/>
  <c r="D64" i="1"/>
  <c r="E64" i="1" s="1"/>
  <c r="D74" i="1"/>
  <c r="E74" i="1" s="1"/>
  <c r="D25" i="1"/>
  <c r="D7" i="1"/>
  <c r="E7" i="1" s="1"/>
  <c r="D92" i="1"/>
  <c r="E92" i="1" s="1"/>
  <c r="D97" i="1"/>
  <c r="E97" i="1" s="1"/>
  <c r="B2" i="7"/>
  <c r="D89" i="1"/>
  <c r="E89" i="1" s="1"/>
  <c r="D51" i="1"/>
  <c r="E51" i="1" s="1"/>
  <c r="D66" i="1"/>
  <c r="E66" i="1" s="1"/>
  <c r="D41" i="1"/>
  <c r="E41" i="1" s="1"/>
  <c r="B6" i="2"/>
  <c r="E10" i="10"/>
  <c r="D10" i="10"/>
  <c r="D32" i="1" l="1"/>
  <c r="E32" i="1" s="1"/>
  <c r="E25" i="1"/>
  <c r="D10" i="1"/>
  <c r="E10" i="1"/>
  <c r="D18" i="1"/>
  <c r="E18" i="1"/>
  <c r="D46" i="1"/>
  <c r="E46" i="1" s="1"/>
  <c r="D21" i="1"/>
  <c r="E21" i="1" s="1"/>
  <c r="D76" i="1"/>
  <c r="E76" i="1"/>
  <c r="C5" i="11"/>
  <c r="C10" i="21"/>
  <c r="B10" i="21"/>
  <c r="C6" i="10"/>
  <c r="C9" i="10"/>
  <c r="C12" i="10"/>
  <c r="B9" i="11"/>
  <c r="C4" i="11"/>
  <c r="C6" i="11"/>
  <c r="C8" i="11"/>
</calcChain>
</file>

<file path=xl/sharedStrings.xml><?xml version="1.0" encoding="utf-8"?>
<sst xmlns="http://schemas.openxmlformats.org/spreadsheetml/2006/main" count="1102" uniqueCount="137">
  <si>
    <t>Player</t>
  </si>
  <si>
    <t>Milestone Type</t>
  </si>
  <si>
    <t xml:space="preserve">Milestone </t>
  </si>
  <si>
    <t>Current Total</t>
  </si>
  <si>
    <t>Distance</t>
  </si>
  <si>
    <t>Number to Achieve</t>
  </si>
  <si>
    <t>Ranking &amp; Player Passing</t>
  </si>
  <si>
    <t>Next Up</t>
  </si>
  <si>
    <t>Graphic?</t>
  </si>
  <si>
    <t>Request</t>
  </si>
  <si>
    <t>Trevon Scott</t>
  </si>
  <si>
    <t>LIN</t>
  </si>
  <si>
    <t>Steals</t>
  </si>
  <si>
    <t>#4, Passing Chris Chiozza (102)</t>
  </si>
  <si>
    <t>Terry Roberts</t>
  </si>
  <si>
    <t>Games Played</t>
  </si>
  <si>
    <t>#4, Passing J.J. Moore (92)</t>
  </si>
  <si>
    <t>Tyson Etienne</t>
  </si>
  <si>
    <t>Mfon Udofia</t>
  </si>
  <si>
    <t>Wins</t>
  </si>
  <si>
    <t>David Muoka</t>
  </si>
  <si>
    <t>Blocks</t>
  </si>
  <si>
    <t>#1 In Franchise History</t>
  </si>
  <si>
    <t>D'Andre Davis</t>
  </si>
  <si>
    <t>Career</t>
  </si>
  <si>
    <t>Rebounds</t>
  </si>
  <si>
    <t>Ben Saraf</t>
  </si>
  <si>
    <t>Assists</t>
  </si>
  <si>
    <t>#2, Passing Tahjere McCall (114)</t>
  </si>
  <si>
    <t>Josh Minott</t>
  </si>
  <si>
    <t>Javon Freeman-Liberty</t>
  </si>
  <si>
    <t>#5, Passing Jordan Bowden (89)</t>
  </si>
  <si>
    <t>Yuri Collins</t>
  </si>
  <si>
    <t>Malachi Smith</t>
  </si>
  <si>
    <t>Hunter Cattoor</t>
  </si>
  <si>
    <t>Points</t>
  </si>
  <si>
    <t>Nolan Traore</t>
  </si>
  <si>
    <t>E.J. Liddell</t>
  </si>
  <si>
    <t>3PM</t>
  </si>
  <si>
    <t>#5, Passing Milton Doyle (148)</t>
  </si>
  <si>
    <t>Chaney Johnson</t>
  </si>
  <si>
    <t>Jahlil White</t>
  </si>
  <si>
    <t>Alex Schumacher</t>
  </si>
  <si>
    <t>Danny Wolf</t>
  </si>
  <si>
    <t>Drake Powell</t>
  </si>
  <si>
    <t>Ray Harrison</t>
  </si>
  <si>
    <t>#4, Passing J.J. Moore (1004)</t>
  </si>
  <si>
    <t>Grant Nelson</t>
  </si>
  <si>
    <t>#3 In Franchise History</t>
  </si>
  <si>
    <t>Jamal Mashburn Jr.</t>
  </si>
  <si>
    <t>#5, Passing Dzanan Musa (936)</t>
  </si>
  <si>
    <t>Double-Doubles</t>
  </si>
  <si>
    <t>#2, Passing Chris Chiozza (1)</t>
  </si>
  <si>
    <t>#1, Passing Chris Chiozza (1)</t>
  </si>
  <si>
    <t>#1, Passing Will Weaver (3)</t>
  </si>
  <si>
    <t>#1, Passing Tahjere McCall (5)</t>
  </si>
  <si>
    <t>#2, Passing Thomas Wimbush (32)</t>
  </si>
  <si>
    <t>#1, Passing Alan Williams (14)</t>
  </si>
  <si>
    <t>#2, Passing Jordan McLaughlin (10)</t>
  </si>
  <si>
    <t>#1, Passing Jacob Gilyard (13)</t>
  </si>
  <si>
    <t>#5, Passing Keon Johnson (14)</t>
  </si>
  <si>
    <t>#7, Passing Keon Johnson (59)</t>
  </si>
  <si>
    <t>#4, Passing Jordan McLaughlin (84)</t>
  </si>
  <si>
    <t>MFON UDOFIA</t>
  </si>
  <si>
    <t>PRE 3/10/26</t>
  </si>
  <si>
    <t>CURRENT</t>
  </si>
  <si>
    <t>WINS</t>
  </si>
  <si>
    <t>GAMES</t>
  </si>
  <si>
    <t>PLAYOFFS:</t>
  </si>
  <si>
    <t>Pre 2026</t>
  </si>
  <si>
    <t>HUNTER CATTOOR</t>
  </si>
  <si>
    <t>All-Time</t>
  </si>
  <si>
    <t>2025-26</t>
  </si>
  <si>
    <t>FGM</t>
  </si>
  <si>
    <t>Double Doubles</t>
  </si>
  <si>
    <t>MIN</t>
  </si>
  <si>
    <t>14.59</t>
  </si>
  <si>
    <t>17.00</t>
  </si>
  <si>
    <t>FTM</t>
  </si>
  <si>
    <t>GP</t>
  </si>
  <si>
    <t>YURI COLLINS</t>
  </si>
  <si>
    <t>Pre 2025</t>
  </si>
  <si>
    <t>29.35</t>
  </si>
  <si>
    <t>35.14</t>
  </si>
  <si>
    <t>31.53</t>
  </si>
  <si>
    <t>D'ANDRE DAVIS</t>
  </si>
  <si>
    <t>8.05</t>
  </si>
  <si>
    <t>15.05</t>
  </si>
  <si>
    <t>TYSON ETIENNE</t>
  </si>
  <si>
    <t>2024-25 (LIN)</t>
  </si>
  <si>
    <t>JAVON FREEMAN-LIBERTY</t>
  </si>
  <si>
    <t>Pre 2025-26</t>
  </si>
  <si>
    <t>RAY HARRISON</t>
  </si>
  <si>
    <t>CLC</t>
  </si>
  <si>
    <t>CHANEY JOHNSON</t>
  </si>
  <si>
    <t>CLE</t>
  </si>
  <si>
    <t>E.J. LIDDELL</t>
  </si>
  <si>
    <t>JAMAL MASHBURN JR.</t>
  </si>
  <si>
    <t>WCK</t>
  </si>
  <si>
    <t>JOSH MINOTT</t>
  </si>
  <si>
    <t>IOWA (22-24)</t>
  </si>
  <si>
    <t>DAVID MUOKA</t>
  </si>
  <si>
    <t>2023-24 (LIN)</t>
  </si>
  <si>
    <t>13.58</t>
  </si>
  <si>
    <t>14.50</t>
  </si>
  <si>
    <t>13.34</t>
  </si>
  <si>
    <t>LIN (2023-24)</t>
  </si>
  <si>
    <t>GRANT NELSON</t>
  </si>
  <si>
    <t>20.00</t>
  </si>
  <si>
    <t>16.58</t>
  </si>
  <si>
    <t>DRAKE POWELL</t>
  </si>
  <si>
    <t>TERRY ROBERTS</t>
  </si>
  <si>
    <t>BEN SARAF</t>
  </si>
  <si>
    <t>27.34</t>
  </si>
  <si>
    <t>24.53</t>
  </si>
  <si>
    <t>ALEX SCHUMACHER</t>
  </si>
  <si>
    <t>Valley</t>
  </si>
  <si>
    <t>LIN (25-26)</t>
  </si>
  <si>
    <t>TREVON SCOTT</t>
  </si>
  <si>
    <t>30.13</t>
  </si>
  <si>
    <t>17.41</t>
  </si>
  <si>
    <t>JAY SCRUBB</t>
  </si>
  <si>
    <t>17.13</t>
  </si>
  <si>
    <t>23.31</t>
  </si>
  <si>
    <t>MALACHI SMITH</t>
  </si>
  <si>
    <t>NOLAN TRAORE</t>
  </si>
  <si>
    <t>25.45</t>
  </si>
  <si>
    <t>25.11</t>
  </si>
  <si>
    <t>NATE WILLIAMS</t>
  </si>
  <si>
    <t>34.19</t>
  </si>
  <si>
    <t>22.24</t>
  </si>
  <si>
    <t>JAHLIL WHITE</t>
  </si>
  <si>
    <t>OKC + RCR</t>
  </si>
  <si>
    <t>DANNY WOLF</t>
  </si>
  <si>
    <t>65.1</t>
  </si>
  <si>
    <t>31.10</t>
  </si>
  <si>
    <t>33.53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</si>
</sst>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0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6" fontId="0" fillId="0" borderId="0" xfId="0" applyNumberFormat="1"/>
    <xf numFmtId="16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46" fontId="0" fillId="0" borderId="0" xfId="0" quotePrefix="1" applyNumberFormat="1" applyAlignment="1">
      <alignment horizontal="center"/>
    </xf>
    <xf numFmtId="0" fontId="0" fillId="0" borderId="0" xfId="0" quotePrefix="1" applyAlignment="1">
      <alignment horizontal="center"/>
    </xf>
    <xf numFmtId="3" fontId="0" fillId="0" borderId="0" xfId="0" quotePrefix="1" applyNumberFormat="1" applyAlignment="1">
      <alignment horizontal="center"/>
    </xf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quotePrefix="1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2" fillId="0" borderId="0" xfId="0" applyFont="1"/>
    <xf numFmtId="46" fontId="0" fillId="0" borderId="0" xfId="0" applyNumberFormat="1" applyAlignment="1">
      <alignment horizontal="center"/>
    </xf>
    <xf numFmtId="0" fontId="0" fillId="3" borderId="0" xfId="0" applyFill="1"/>
    <xf numFmtId="16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16" fontId="0" fillId="0" borderId="0" xfId="0" applyNumberFormat="1" applyAlignment="1">
      <alignment horizontal="right"/>
    </xf>
    <xf numFmtId="16" fontId="3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" fontId="3" fillId="0" borderId="0" xfId="0" applyNumberFormat="1" applyFont="1" applyAlignment="1">
      <alignment horizontal="center"/>
    </xf>
    <xf numFmtId="1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quotePrefix="1" applyFont="1" applyAlignment="1">
      <alignment horizontal="center"/>
    </xf>
    <xf numFmtId="0" fontId="3" fillId="0" borderId="0" xfId="0" quotePrefix="1" applyFont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4" borderId="0" xfId="0" applyFill="1"/>
    <xf numFmtId="1" fontId="0" fillId="0" borderId="0" xfId="0" applyNumberFormat="1" applyAlignment="1">
      <alignment horizontal="center"/>
    </xf>
    <xf numFmtId="1" fontId="0" fillId="0" borderId="0" xfId="0" applyNumberFormat="1"/>
    <xf numFmtId="0" fontId="5" fillId="0" borderId="0" xfId="0" applyFont="1" applyAlignment="1">
      <alignment horizontal="center"/>
    </xf>
    <xf numFmtId="0" fontId="0" fillId="0" borderId="0" xfId="0" quotePrefix="1"/>
    <xf numFmtId="16" fontId="0" fillId="0" borderId="0" xfId="0" applyNumberFormat="1" applyAlignment="1">
      <alignment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164" fontId="0" fillId="0" borderId="0" xfId="0" applyNumberFormat="1" applyAlignment="1">
      <alignment horizontal="center" vertical="center"/>
    </xf>
    <xf numFmtId="16" fontId="5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2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A344AE-C81B-452E-B088-BADEE8B4E613}" name="Table1" displayName="Table1" ref="A1:J99" totalsRowShown="0" headerRowDxfId="21" dataDxfId="20">
  <autoFilter ref="A1:J99" xr:uid="{A5A344AE-C81B-452E-B088-BADEE8B4E613}">
    <filterColumn colId="0">
      <filters>
        <filter val="Ben Saraf"/>
        <filter val="D'Andre Davis"/>
        <filter val="Danny Wolf"/>
        <filter val="David Muoka"/>
        <filter val="E.J. Liddell"/>
        <filter val="Grant Nelson"/>
        <filter val="Hunter Cattoor"/>
        <filter val="Jay Scrubb"/>
        <filter val="Malachi Smith"/>
        <filter val="Nate Williams"/>
        <filter val="Nolan Traore"/>
        <filter val="Terry Roberts"/>
        <filter val="Trevon Scott"/>
        <filter val="Tyson Etienne"/>
      </filters>
    </filterColumn>
  </autoFilter>
  <sortState xmlns:xlrd2="http://schemas.microsoft.com/office/spreadsheetml/2017/richdata2" ref="A2:J99">
    <sortCondition ref="E1:E99"/>
  </sortState>
  <tableColumns count="10">
    <tableColumn id="1" xr3:uid="{9DCE8B6F-5ED8-45D5-BBBD-1FA7714B8A16}" name="Player" dataDxfId="19"/>
    <tableColumn id="2" xr3:uid="{544F5A6D-320C-435B-B409-546529C2D40D}" name="Milestone Type" dataDxfId="18"/>
    <tableColumn id="3" xr3:uid="{A420D193-FB83-4EEF-B5B5-8AFC575BE5BD}" name="Milestone " dataDxfId="17"/>
    <tableColumn id="4" xr3:uid="{3CE5B916-82DF-4B0A-B7E6-6E40AD7C3351}" name="Current Total" dataDxfId="16"/>
    <tableColumn id="5" xr3:uid="{6E172E64-102A-4272-8FFC-4FDE378A571D}" name="Distance" dataDxfId="15"/>
    <tableColumn id="6" xr3:uid="{301560B0-6828-493D-94CF-320D619B2552}" name="Number to Achieve" dataDxfId="14"/>
    <tableColumn id="7" xr3:uid="{738C2D6B-9954-4BF9-8E78-C2AC8C0F9CB2}" name="Ranking &amp; Player Passing" dataDxfId="13"/>
    <tableColumn id="8" xr3:uid="{2FEDBABB-E424-43FD-954F-0EB8CFE0D379}" name="Next Up" dataDxfId="12"/>
    <tableColumn id="9" xr3:uid="{C156C0B4-3C4D-4853-8F33-33166FA5B977}" name="Graphic?"/>
    <tableColumn id="10" xr3:uid="{B2E222DA-E2B8-4F52-8E3C-1DC671D46E79}" name="Reques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EF433A-59E6-4932-B8C6-9F0195D948CB}" name="Table13" displayName="Table13" ref="A1:J48" totalsRowShown="0" headerRowDxfId="9" dataDxfId="8">
  <autoFilter ref="A1:J48" xr:uid="{A5A344AE-C81B-452E-B088-BADEE8B4E613}">
    <filterColumn colId="0">
      <filters>
        <filter val="Ben Saraf"/>
        <filter val="D'Andre Davis"/>
        <filter val="Danny Wolf"/>
        <filter val="David Muoka"/>
        <filter val="E.J. Liddell"/>
        <filter val="Grant Nelson"/>
        <filter val="Hunter Cattoor"/>
        <filter val="Jay Scrubb"/>
        <filter val="Malachi Smith"/>
        <filter val="Nate Williams"/>
        <filter val="Nolan Traore"/>
        <filter val="Terry Roberts"/>
        <filter val="Trevon Scott"/>
        <filter val="Tyson Etienne"/>
      </filters>
    </filterColumn>
  </autoFilter>
  <sortState xmlns:xlrd2="http://schemas.microsoft.com/office/spreadsheetml/2017/richdata2" ref="A2:J48">
    <sortCondition ref="E1:E48"/>
  </sortState>
  <tableColumns count="10">
    <tableColumn id="1" xr3:uid="{77EF7AA8-9E2E-45BA-B75B-3A39B8650BA0}" name="Player" dataDxfId="7"/>
    <tableColumn id="2" xr3:uid="{4764B3B9-4C2D-412D-A977-5F37D52ADB2B}" name="Milestone Type" dataDxfId="6"/>
    <tableColumn id="3" xr3:uid="{2DA468FF-F843-46E8-8934-271B4AC7935C}" name="Milestone " dataDxfId="5"/>
    <tableColumn id="4" xr3:uid="{CE51EB7E-C9CB-4166-BEC5-A2151C864C9B}" name="Current Total" dataDxfId="4"/>
    <tableColumn id="5" xr3:uid="{EF4CBA74-5BFF-4C57-9829-63593F1BD4C0}" name="Distance" dataDxfId="3">
      <calculatedColumnFormula>F2-D2</calculatedColumnFormula>
    </tableColumn>
    <tableColumn id="6" xr3:uid="{8A57185B-CAFC-463F-9FDD-80570C992230}" name="Number to Achieve" dataDxfId="2"/>
    <tableColumn id="7" xr3:uid="{A5912F8F-686A-41D4-A842-17CCA957D289}" name="Ranking &amp; Player Passing" dataDxfId="1"/>
    <tableColumn id="8" xr3:uid="{A7C1E6A7-92BA-4D92-BDC1-A5217B62CF20}" name="Next Up" dataDxfId="0"/>
    <tableColumn id="9" xr3:uid="{3D6552E3-40FD-456D-AAD7-0DDE2997064D}" name="Graphic?"/>
    <tableColumn id="10" xr3:uid="{673A1F78-F96A-4AA2-8297-9461EB238779}" name="Reques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4260B-2E83-4145-B02C-7CC51ABD2128}">
  <dimension ref="A1:J99"/>
  <sheetViews>
    <sheetView zoomScale="80" zoomScaleNormal="80" workbookViewId="0">
      <selection activeCell="I7" sqref="I7"/>
    </sheetView>
  </sheetViews>
  <sheetFormatPr defaultRowHeight="14.45"/>
  <cols>
    <col min="1" max="1" width="20.42578125" style="1" customWidth="1"/>
    <col min="2" max="2" width="17.140625" style="4" customWidth="1"/>
    <col min="3" max="3" width="20.85546875" style="4" customWidth="1"/>
    <col min="4" max="4" width="15" style="4" customWidth="1"/>
    <col min="5" max="5" width="15.42578125" style="4" customWidth="1"/>
    <col min="6" max="6" width="20.42578125" style="4" bestFit="1" customWidth="1"/>
    <col min="7" max="7" width="27.85546875" style="4" customWidth="1"/>
    <col min="8" max="8" width="17.140625" style="4" customWidth="1"/>
    <col min="9" max="9" width="11.42578125" bestFit="1" customWidth="1"/>
    <col min="10" max="10" width="10.7109375" bestFit="1" customWidth="1"/>
  </cols>
  <sheetData>
    <row r="1" spans="1:10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t="s">
        <v>8</v>
      </c>
      <c r="J1" t="s">
        <v>9</v>
      </c>
    </row>
    <row r="2" spans="1:10">
      <c r="A2" s="1" t="s">
        <v>10</v>
      </c>
      <c r="B2" s="4" t="s">
        <v>11</v>
      </c>
      <c r="C2" s="4" t="s">
        <v>12</v>
      </c>
      <c r="D2" s="4">
        <f>'Trevon Scott'!E5</f>
        <v>101</v>
      </c>
      <c r="E2" s="4">
        <f>F2-D2</f>
        <v>2</v>
      </c>
      <c r="F2" s="4">
        <v>103</v>
      </c>
      <c r="G2" s="4" t="s">
        <v>13</v>
      </c>
    </row>
    <row r="3" spans="1:10">
      <c r="A3" s="1" t="s">
        <v>14</v>
      </c>
      <c r="B3" s="4" t="s">
        <v>11</v>
      </c>
      <c r="C3" s="4" t="s">
        <v>15</v>
      </c>
      <c r="D3" s="4">
        <f>'Terry Roberts'!B12</f>
        <v>90</v>
      </c>
      <c r="E3" s="4">
        <f>F3-D3</f>
        <v>3</v>
      </c>
      <c r="F3" s="4">
        <v>93</v>
      </c>
      <c r="G3" s="4" t="s">
        <v>16</v>
      </c>
    </row>
    <row r="4" spans="1:10">
      <c r="A4" s="1" t="s">
        <v>17</v>
      </c>
      <c r="B4" s="4" t="s">
        <v>11</v>
      </c>
      <c r="C4" s="5" t="s">
        <v>12</v>
      </c>
      <c r="D4" s="5">
        <f>'Tyson Etienne'!E5</f>
        <v>100</v>
      </c>
      <c r="E4" s="5">
        <f>F4-D4</f>
        <v>3</v>
      </c>
      <c r="F4" s="5">
        <v>103</v>
      </c>
      <c r="G4" s="4" t="s">
        <v>13</v>
      </c>
    </row>
    <row r="5" spans="1:10">
      <c r="A5" s="1" t="s">
        <v>18</v>
      </c>
      <c r="B5" s="4" t="s">
        <v>11</v>
      </c>
      <c r="C5" s="4" t="s">
        <v>19</v>
      </c>
      <c r="D5" s="4">
        <f>'Mfon Udofia'!C2</f>
        <v>72</v>
      </c>
      <c r="E5" s="4">
        <f>F5-D5</f>
        <v>3</v>
      </c>
      <c r="F5" s="4">
        <v>75</v>
      </c>
    </row>
    <row r="6" spans="1:10">
      <c r="A6" s="1" t="s">
        <v>20</v>
      </c>
      <c r="B6" s="4" t="s">
        <v>11</v>
      </c>
      <c r="C6" s="4" t="s">
        <v>21</v>
      </c>
      <c r="D6" s="4">
        <f>'David Muoka'!E6</f>
        <v>96</v>
      </c>
      <c r="E6" s="4">
        <f>F6-D6</f>
        <v>4</v>
      </c>
      <c r="F6" s="4">
        <v>100</v>
      </c>
      <c r="G6" s="4" t="s">
        <v>22</v>
      </c>
    </row>
    <row r="7" spans="1:10">
      <c r="A7" s="1" t="s">
        <v>23</v>
      </c>
      <c r="B7" s="4" t="s">
        <v>24</v>
      </c>
      <c r="C7" s="4" t="s">
        <v>25</v>
      </c>
      <c r="D7" s="4">
        <f>'D''Andre Davis'!B3</f>
        <v>96</v>
      </c>
      <c r="E7" s="4">
        <f>F7-D7</f>
        <v>4</v>
      </c>
      <c r="F7" s="4">
        <v>100</v>
      </c>
    </row>
    <row r="8" spans="1:10">
      <c r="A8" s="1" t="s">
        <v>26</v>
      </c>
      <c r="B8" s="4" t="s">
        <v>24</v>
      </c>
      <c r="C8" s="4" t="s">
        <v>27</v>
      </c>
      <c r="D8" s="4">
        <f>'Ben Saraf'!B4</f>
        <v>95</v>
      </c>
      <c r="E8" s="4">
        <f>F8-D8</f>
        <v>5</v>
      </c>
      <c r="F8" s="4">
        <v>100</v>
      </c>
    </row>
    <row r="9" spans="1:10">
      <c r="A9" s="1" t="s">
        <v>20</v>
      </c>
      <c r="B9" s="4" t="s">
        <v>24</v>
      </c>
      <c r="C9" s="4" t="s">
        <v>21</v>
      </c>
      <c r="D9" s="4">
        <f>'David Muoka'!B6</f>
        <v>194</v>
      </c>
      <c r="E9" s="4">
        <f>F9-D9</f>
        <v>6</v>
      </c>
      <c r="F9" s="4">
        <v>200</v>
      </c>
    </row>
    <row r="10" spans="1:10">
      <c r="A10" s="1" t="s">
        <v>17</v>
      </c>
      <c r="B10" s="4" t="s">
        <v>11</v>
      </c>
      <c r="C10" s="4" t="s">
        <v>27</v>
      </c>
      <c r="D10" s="4">
        <f>'Tyson Etienne'!E4</f>
        <v>294</v>
      </c>
      <c r="E10" s="4">
        <f>F10-D10</f>
        <v>6</v>
      </c>
      <c r="F10" s="4">
        <v>300</v>
      </c>
    </row>
    <row r="11" spans="1:10">
      <c r="A11" s="1" t="s">
        <v>14</v>
      </c>
      <c r="B11" s="4" t="s">
        <v>24</v>
      </c>
      <c r="C11" s="4" t="s">
        <v>12</v>
      </c>
      <c r="D11" s="4">
        <f>'Terry Roberts'!B5</f>
        <v>109</v>
      </c>
      <c r="E11" s="4">
        <f>F11-D11</f>
        <v>6</v>
      </c>
      <c r="F11" s="4">
        <v>115</v>
      </c>
      <c r="G11" s="4" t="s">
        <v>28</v>
      </c>
    </row>
    <row r="12" spans="1:10">
      <c r="A12" s="1" t="s">
        <v>20</v>
      </c>
      <c r="B12" s="4" t="s">
        <v>11</v>
      </c>
      <c r="C12" s="4" t="s">
        <v>15</v>
      </c>
      <c r="D12" s="4">
        <f>'David Muoka'!E12</f>
        <v>83</v>
      </c>
      <c r="E12" s="4">
        <f>F12-D12</f>
        <v>7</v>
      </c>
      <c r="F12" s="4">
        <v>90</v>
      </c>
    </row>
    <row r="13" spans="1:10">
      <c r="A13" s="1" t="s">
        <v>29</v>
      </c>
      <c r="B13" s="4" t="s">
        <v>24</v>
      </c>
      <c r="C13" s="4" t="s">
        <v>27</v>
      </c>
      <c r="D13" s="4">
        <f>'Josh Minott'!B4</f>
        <v>92</v>
      </c>
      <c r="E13" s="4">
        <f>F13-D13</f>
        <v>8</v>
      </c>
      <c r="F13" s="4">
        <v>100</v>
      </c>
    </row>
    <row r="14" spans="1:10">
      <c r="A14" s="1" t="s">
        <v>30</v>
      </c>
      <c r="B14" s="4" t="s">
        <v>24</v>
      </c>
      <c r="C14" s="4" t="s">
        <v>12</v>
      </c>
      <c r="D14" s="4">
        <f>'Javon Freeman-Liberty'!B5</f>
        <v>92</v>
      </c>
      <c r="E14" s="4">
        <f>F14-D14</f>
        <v>8</v>
      </c>
      <c r="F14" s="4">
        <v>100</v>
      </c>
    </row>
    <row r="15" spans="1:10">
      <c r="A15" s="1" t="s">
        <v>10</v>
      </c>
      <c r="B15" s="4" t="s">
        <v>11</v>
      </c>
      <c r="C15" s="4" t="s">
        <v>15</v>
      </c>
      <c r="D15" s="4">
        <f>'Trevon Scott'!E12</f>
        <v>81</v>
      </c>
      <c r="E15" s="4">
        <f>F15-D15</f>
        <v>9</v>
      </c>
      <c r="F15" s="4">
        <v>90</v>
      </c>
      <c r="G15" s="4" t="s">
        <v>31</v>
      </c>
    </row>
    <row r="16" spans="1:10" ht="16.5" customHeight="1">
      <c r="A16" s="1" t="s">
        <v>17</v>
      </c>
      <c r="B16" s="4" t="s">
        <v>11</v>
      </c>
      <c r="C16" s="4" t="s">
        <v>15</v>
      </c>
      <c r="D16" s="5">
        <f>'Tyson Etienne'!E12</f>
        <v>80</v>
      </c>
      <c r="E16" s="5">
        <f>F16-D16</f>
        <v>10</v>
      </c>
      <c r="F16" s="4">
        <v>90</v>
      </c>
      <c r="G16" s="4" t="s">
        <v>31</v>
      </c>
    </row>
    <row r="17" spans="1:7" hidden="1">
      <c r="A17" s="20" t="s">
        <v>32</v>
      </c>
      <c r="B17" s="4" t="s">
        <v>24</v>
      </c>
      <c r="C17" s="4" t="s">
        <v>25</v>
      </c>
      <c r="D17" s="4">
        <f>'Yuri Collins'!B3</f>
        <v>332</v>
      </c>
      <c r="E17" s="4">
        <f>F17-D17</f>
        <v>18</v>
      </c>
      <c r="F17" s="4">
        <v>350</v>
      </c>
    </row>
    <row r="18" spans="1:7">
      <c r="A18" s="1" t="s">
        <v>17</v>
      </c>
      <c r="B18" s="4" t="s">
        <v>11</v>
      </c>
      <c r="C18" s="4" t="s">
        <v>25</v>
      </c>
      <c r="D18" s="5">
        <f>'Tyson Etienne'!E3</f>
        <v>240</v>
      </c>
      <c r="E18" s="5">
        <f>F18-D18</f>
        <v>10</v>
      </c>
      <c r="F18" s="5">
        <v>250</v>
      </c>
    </row>
    <row r="19" spans="1:7" hidden="1">
      <c r="A19" s="1" t="s">
        <v>32</v>
      </c>
      <c r="B19" s="4" t="s">
        <v>24</v>
      </c>
      <c r="C19" s="4" t="s">
        <v>12</v>
      </c>
      <c r="D19" s="4">
        <f>'Yuri Collins'!B5</f>
        <v>126</v>
      </c>
      <c r="E19" s="4">
        <f>F19-D19</f>
        <v>24</v>
      </c>
      <c r="F19" s="4">
        <v>150</v>
      </c>
    </row>
    <row r="20" spans="1:7">
      <c r="A20" s="1" t="s">
        <v>33</v>
      </c>
      <c r="B20" s="4" t="s">
        <v>24</v>
      </c>
      <c r="C20" s="4" t="s">
        <v>25</v>
      </c>
      <c r="D20" s="4">
        <f>'Malachi Smith'!B3</f>
        <v>588</v>
      </c>
      <c r="E20" s="4">
        <f>F20-D20</f>
        <v>12</v>
      </c>
      <c r="F20" s="4">
        <v>600</v>
      </c>
    </row>
    <row r="21" spans="1:7">
      <c r="A21" s="1" t="s">
        <v>33</v>
      </c>
      <c r="B21" s="4" t="s">
        <v>24</v>
      </c>
      <c r="C21" s="4" t="s">
        <v>27</v>
      </c>
      <c r="D21" s="4">
        <f>'Malachi Smith'!B4</f>
        <v>487</v>
      </c>
      <c r="E21" s="4">
        <f>F21-D21</f>
        <v>13</v>
      </c>
      <c r="F21" s="4">
        <v>500</v>
      </c>
    </row>
    <row r="22" spans="1:7">
      <c r="A22" s="1" t="s">
        <v>34</v>
      </c>
      <c r="B22" s="4" t="s">
        <v>24</v>
      </c>
      <c r="C22" s="4" t="s">
        <v>35</v>
      </c>
      <c r="D22" s="4">
        <f>'Hunter Cattoor'!B2</f>
        <v>287</v>
      </c>
      <c r="E22" s="4">
        <f>F22-D22</f>
        <v>13</v>
      </c>
      <c r="F22" s="4">
        <v>300</v>
      </c>
    </row>
    <row r="23" spans="1:7">
      <c r="A23" s="1" t="s">
        <v>36</v>
      </c>
      <c r="B23" s="4" t="s">
        <v>24</v>
      </c>
      <c r="C23" s="4" t="s">
        <v>27</v>
      </c>
      <c r="D23" s="4">
        <f>'Nolan Traore'!B4</f>
        <v>85</v>
      </c>
      <c r="E23" s="4">
        <f>F23-D23</f>
        <v>15</v>
      </c>
      <c r="F23" s="4">
        <v>100</v>
      </c>
    </row>
    <row r="24" spans="1:7">
      <c r="A24" s="1" t="s">
        <v>10</v>
      </c>
      <c r="B24" s="4" t="s">
        <v>24</v>
      </c>
      <c r="C24" s="4" t="s">
        <v>21</v>
      </c>
      <c r="D24" s="4">
        <f>'Trevon Scott'!B6</f>
        <v>82</v>
      </c>
      <c r="E24" s="4">
        <f>F24-D24</f>
        <v>18</v>
      </c>
      <c r="F24" s="4">
        <v>100</v>
      </c>
    </row>
    <row r="25" spans="1:7">
      <c r="A25" s="1" t="s">
        <v>37</v>
      </c>
      <c r="B25" s="4" t="s">
        <v>24</v>
      </c>
      <c r="C25" s="4" t="s">
        <v>25</v>
      </c>
      <c r="D25" s="4">
        <f>'E.J. Liddell'!B3</f>
        <v>682</v>
      </c>
      <c r="E25" s="4">
        <f>F25-D25</f>
        <v>18</v>
      </c>
      <c r="F25" s="4">
        <v>700</v>
      </c>
    </row>
    <row r="26" spans="1:7">
      <c r="A26" s="1" t="s">
        <v>33</v>
      </c>
      <c r="B26" s="4" t="s">
        <v>24</v>
      </c>
      <c r="C26" s="4" t="s">
        <v>12</v>
      </c>
      <c r="D26" s="4">
        <f>'Malachi Smith'!B5</f>
        <v>130</v>
      </c>
      <c r="E26" s="4">
        <f>F26-D26</f>
        <v>20</v>
      </c>
      <c r="F26" s="4">
        <v>150</v>
      </c>
    </row>
    <row r="27" spans="1:7">
      <c r="A27" s="1" t="s">
        <v>14</v>
      </c>
      <c r="B27" s="4" t="s">
        <v>24</v>
      </c>
      <c r="C27" s="4" t="s">
        <v>35</v>
      </c>
      <c r="D27" s="4">
        <f>'Terry Roberts'!B2</f>
        <v>580</v>
      </c>
      <c r="E27" s="4">
        <f>F27-D27</f>
        <v>20</v>
      </c>
      <c r="F27" s="4">
        <v>600</v>
      </c>
    </row>
    <row r="28" spans="1:7">
      <c r="A28" s="1" t="s">
        <v>10</v>
      </c>
      <c r="B28" s="4" t="s">
        <v>11</v>
      </c>
      <c r="C28" s="4" t="s">
        <v>38</v>
      </c>
      <c r="D28" s="4">
        <f>'Trevon Scott'!E8</f>
        <v>128</v>
      </c>
      <c r="E28" s="4">
        <f>F28-D28</f>
        <v>21</v>
      </c>
      <c r="F28" s="4">
        <v>149</v>
      </c>
      <c r="G28" s="4" t="s">
        <v>39</v>
      </c>
    </row>
    <row r="29" spans="1:7">
      <c r="A29" s="1" t="s">
        <v>40</v>
      </c>
      <c r="B29" s="4" t="s">
        <v>24</v>
      </c>
      <c r="C29" s="4" t="s">
        <v>27</v>
      </c>
      <c r="D29" s="4">
        <f>'Chaney Johnson'!B4</f>
        <v>78</v>
      </c>
      <c r="E29" s="4">
        <f>F29-D29</f>
        <v>22</v>
      </c>
      <c r="F29" s="4">
        <v>100</v>
      </c>
    </row>
    <row r="30" spans="1:7">
      <c r="A30" s="1" t="s">
        <v>26</v>
      </c>
      <c r="B30" s="4" t="s">
        <v>24</v>
      </c>
      <c r="C30" s="4" t="s">
        <v>25</v>
      </c>
      <c r="D30" s="4">
        <f>'Ben Saraf'!B3</f>
        <v>76</v>
      </c>
      <c r="E30" s="4">
        <f>F30-D30</f>
        <v>24</v>
      </c>
      <c r="F30" s="4">
        <v>100</v>
      </c>
    </row>
    <row r="31" spans="1:7">
      <c r="A31" s="1" t="s">
        <v>30</v>
      </c>
      <c r="B31" s="4" t="s">
        <v>24</v>
      </c>
      <c r="C31" s="4" t="s">
        <v>27</v>
      </c>
      <c r="D31" s="4">
        <f>'Javon Freeman-Liberty'!B4</f>
        <v>275</v>
      </c>
      <c r="E31" s="4">
        <f>F31-D31</f>
        <v>25</v>
      </c>
      <c r="F31" s="4">
        <v>300</v>
      </c>
    </row>
    <row r="32" spans="1:7">
      <c r="A32" s="1" t="s">
        <v>37</v>
      </c>
      <c r="B32" s="4" t="s">
        <v>24</v>
      </c>
      <c r="C32" s="4" t="s">
        <v>27</v>
      </c>
      <c r="D32" s="4">
        <f>'E.J. Liddell'!B4</f>
        <v>175</v>
      </c>
      <c r="E32" s="4">
        <f>F32-D32</f>
        <v>25</v>
      </c>
      <c r="F32" s="4">
        <v>200</v>
      </c>
    </row>
    <row r="33" spans="1:7">
      <c r="A33" s="1" t="s">
        <v>10</v>
      </c>
      <c r="B33" s="4" t="s">
        <v>24</v>
      </c>
      <c r="C33" s="4" t="s">
        <v>12</v>
      </c>
      <c r="D33" s="4">
        <f>'Trevon Scott'!B5</f>
        <v>221</v>
      </c>
      <c r="E33" s="4">
        <f>F33-D33</f>
        <v>29</v>
      </c>
      <c r="F33" s="4">
        <v>250</v>
      </c>
    </row>
    <row r="34" spans="1:7">
      <c r="A34" s="1" t="s">
        <v>10</v>
      </c>
      <c r="B34" s="4" t="s">
        <v>11</v>
      </c>
      <c r="C34" s="4" t="s">
        <v>25</v>
      </c>
      <c r="D34" s="5">
        <f>'Trevon Scott'!E3</f>
        <v>468</v>
      </c>
      <c r="E34" s="5">
        <f>F34-D34</f>
        <v>32</v>
      </c>
      <c r="F34" s="5">
        <v>500</v>
      </c>
    </row>
    <row r="35" spans="1:7">
      <c r="A35" s="1" t="s">
        <v>41</v>
      </c>
      <c r="B35" s="4" t="s">
        <v>24</v>
      </c>
      <c r="C35" s="4" t="s">
        <v>35</v>
      </c>
      <c r="D35" s="5">
        <f>'Jahlil White'!B2</f>
        <v>65</v>
      </c>
      <c r="E35" s="5">
        <f>F35-D35</f>
        <v>35</v>
      </c>
      <c r="F35" s="4">
        <v>100</v>
      </c>
    </row>
    <row r="36" spans="1:7">
      <c r="A36" s="1" t="s">
        <v>17</v>
      </c>
      <c r="B36" s="4" t="s">
        <v>11</v>
      </c>
      <c r="C36" s="4" t="s">
        <v>38</v>
      </c>
      <c r="D36" s="4">
        <f>'Tyson Etienne'!E8</f>
        <v>264</v>
      </c>
      <c r="E36" s="4">
        <f>F36-D36</f>
        <v>36</v>
      </c>
      <c r="F36" s="4">
        <v>300</v>
      </c>
      <c r="G36" s="4" t="s">
        <v>22</v>
      </c>
    </row>
    <row r="37" spans="1:7">
      <c r="A37" s="1" t="s">
        <v>42</v>
      </c>
      <c r="B37" s="4" t="s">
        <v>24</v>
      </c>
      <c r="C37" s="4" t="s">
        <v>12</v>
      </c>
      <c r="D37" s="4">
        <f>'Alex Schumacher'!B5</f>
        <v>64</v>
      </c>
      <c r="E37" s="4">
        <f>F37-D37</f>
        <v>36</v>
      </c>
      <c r="F37" s="4">
        <v>100</v>
      </c>
    </row>
    <row r="38" spans="1:7">
      <c r="A38" s="1" t="s">
        <v>34</v>
      </c>
      <c r="B38" s="4" t="s">
        <v>24</v>
      </c>
      <c r="C38" s="4" t="s">
        <v>25</v>
      </c>
      <c r="D38" s="4">
        <f>'Hunter Cattoor'!B3</f>
        <v>64</v>
      </c>
      <c r="E38" s="4">
        <f>F38-D38</f>
        <v>36</v>
      </c>
      <c r="F38" s="4">
        <v>100</v>
      </c>
    </row>
    <row r="39" spans="1:7">
      <c r="A39" s="1" t="s">
        <v>42</v>
      </c>
      <c r="B39" s="4" t="s">
        <v>24</v>
      </c>
      <c r="C39" s="4" t="s">
        <v>27</v>
      </c>
      <c r="D39" s="4">
        <f>'Alex Schumacher'!B4</f>
        <v>264</v>
      </c>
      <c r="E39" s="4">
        <f>F39-D39</f>
        <v>36</v>
      </c>
      <c r="F39" s="4">
        <v>300</v>
      </c>
    </row>
    <row r="40" spans="1:7">
      <c r="A40" s="1" t="s">
        <v>43</v>
      </c>
      <c r="B40" s="4" t="s">
        <v>24</v>
      </c>
      <c r="C40" s="4" t="s">
        <v>25</v>
      </c>
      <c r="D40" s="4">
        <f>'Danny Wolf'!B3</f>
        <v>63</v>
      </c>
      <c r="E40" s="4">
        <f>F40-D40</f>
        <v>37</v>
      </c>
      <c r="F40" s="4">
        <v>100</v>
      </c>
    </row>
    <row r="41" spans="1:7">
      <c r="A41" s="1" t="s">
        <v>23</v>
      </c>
      <c r="B41" s="4" t="s">
        <v>24</v>
      </c>
      <c r="C41" s="4" t="s">
        <v>35</v>
      </c>
      <c r="D41" s="4">
        <f>'D''Andre Davis'!B2</f>
        <v>263</v>
      </c>
      <c r="E41" s="4">
        <f>F41-D41</f>
        <v>37</v>
      </c>
      <c r="F41" s="4">
        <v>300</v>
      </c>
    </row>
    <row r="42" spans="1:7">
      <c r="A42" s="1" t="s">
        <v>41</v>
      </c>
      <c r="B42" s="4" t="s">
        <v>24</v>
      </c>
      <c r="C42" s="4" t="s">
        <v>25</v>
      </c>
      <c r="D42" s="4">
        <f>'Jahlil White'!B3</f>
        <v>61</v>
      </c>
      <c r="E42" s="4">
        <f>F42-D42</f>
        <v>39</v>
      </c>
      <c r="F42" s="4">
        <v>100</v>
      </c>
    </row>
    <row r="43" spans="1:7">
      <c r="A43" s="1" t="s">
        <v>10</v>
      </c>
      <c r="B43" s="4" t="s">
        <v>11</v>
      </c>
      <c r="C43" s="4" t="s">
        <v>27</v>
      </c>
      <c r="D43" s="4">
        <f>'Trevon Scott'!E4</f>
        <v>160</v>
      </c>
      <c r="E43" s="4">
        <f>F43-D43</f>
        <v>40</v>
      </c>
      <c r="F43" s="4">
        <v>200</v>
      </c>
    </row>
    <row r="44" spans="1:7">
      <c r="A44" s="1" t="s">
        <v>40</v>
      </c>
      <c r="B44" s="4" t="s">
        <v>24</v>
      </c>
      <c r="C44" s="4" t="s">
        <v>12</v>
      </c>
      <c r="D44" s="4">
        <f>'Chaney Johnson'!B5</f>
        <v>60</v>
      </c>
      <c r="E44" s="4">
        <f>F44-D44</f>
        <v>40</v>
      </c>
      <c r="F44" s="4">
        <v>100</v>
      </c>
    </row>
    <row r="45" spans="1:7">
      <c r="A45" s="1" t="s">
        <v>44</v>
      </c>
      <c r="B45" s="4" t="s">
        <v>24</v>
      </c>
      <c r="C45" s="4" t="s">
        <v>35</v>
      </c>
      <c r="D45" s="4">
        <f>'Drake Powell'!B2</f>
        <v>59</v>
      </c>
      <c r="E45" s="4">
        <f>F45-D45</f>
        <v>41</v>
      </c>
      <c r="F45" s="4">
        <v>100</v>
      </c>
    </row>
    <row r="46" spans="1:7">
      <c r="A46" s="1" t="s">
        <v>40</v>
      </c>
      <c r="B46" s="4" t="s">
        <v>24</v>
      </c>
      <c r="C46" s="4" t="s">
        <v>35</v>
      </c>
      <c r="D46" s="5">
        <f>'Chaney Johnson'!B2</f>
        <v>558</v>
      </c>
      <c r="E46" s="5">
        <f>F46-D46</f>
        <v>42</v>
      </c>
      <c r="F46" s="4">
        <v>600</v>
      </c>
    </row>
    <row r="47" spans="1:7">
      <c r="A47" s="1" t="s">
        <v>45</v>
      </c>
      <c r="B47" s="4" t="s">
        <v>24</v>
      </c>
      <c r="C47" s="4" t="s">
        <v>12</v>
      </c>
      <c r="D47" s="4">
        <f>'Ray Harrison'!B5</f>
        <v>7</v>
      </c>
      <c r="E47" s="4">
        <f>F47-D47</f>
        <v>43</v>
      </c>
      <c r="F47" s="4">
        <v>50</v>
      </c>
    </row>
    <row r="48" spans="1:7">
      <c r="A48" s="1" t="s">
        <v>37</v>
      </c>
      <c r="B48" s="4" t="s">
        <v>11</v>
      </c>
      <c r="C48" s="4" t="s">
        <v>35</v>
      </c>
      <c r="D48" s="4">
        <f>'E.J. Liddell'!D2</f>
        <v>456</v>
      </c>
      <c r="E48" s="4">
        <f>F48-D48</f>
        <v>44</v>
      </c>
      <c r="F48" s="4">
        <v>500</v>
      </c>
    </row>
    <row r="49" spans="1:7">
      <c r="A49" s="1" t="s">
        <v>14</v>
      </c>
      <c r="B49" s="4" t="s">
        <v>24</v>
      </c>
      <c r="C49" s="4" t="s">
        <v>25</v>
      </c>
      <c r="D49" s="4">
        <f>'Terry Roberts'!B3</f>
        <v>256</v>
      </c>
      <c r="E49" s="4">
        <f>F49-D49</f>
        <v>44</v>
      </c>
      <c r="F49" s="4">
        <v>300</v>
      </c>
    </row>
    <row r="50" spans="1:7">
      <c r="A50" s="1" t="s">
        <v>10</v>
      </c>
      <c r="B50" s="4" t="s">
        <v>11</v>
      </c>
      <c r="C50" s="4" t="s">
        <v>35</v>
      </c>
      <c r="D50" s="4">
        <f>'Trevon Scott'!E2</f>
        <v>960</v>
      </c>
      <c r="E50" s="4">
        <f>F50-D50</f>
        <v>45</v>
      </c>
      <c r="F50" s="5">
        <v>1005</v>
      </c>
      <c r="G50" s="4" t="s">
        <v>46</v>
      </c>
    </row>
    <row r="51" spans="1:7">
      <c r="A51" s="1" t="s">
        <v>47</v>
      </c>
      <c r="B51" s="4" t="s">
        <v>24</v>
      </c>
      <c r="C51" s="4" t="s">
        <v>35</v>
      </c>
      <c r="D51" s="4">
        <f>'Grant Nelson'!B2</f>
        <v>255</v>
      </c>
      <c r="E51" s="4">
        <f>F51-D51</f>
        <v>45</v>
      </c>
      <c r="F51" s="4">
        <v>300</v>
      </c>
    </row>
    <row r="52" spans="1:7">
      <c r="A52" s="1" t="s">
        <v>17</v>
      </c>
      <c r="B52" s="4" t="s">
        <v>24</v>
      </c>
      <c r="C52" s="4" t="s">
        <v>25</v>
      </c>
      <c r="D52" s="4">
        <f>'Tyson Etienne'!B3</f>
        <v>404</v>
      </c>
      <c r="E52" s="4">
        <f>F52-D52</f>
        <v>46</v>
      </c>
      <c r="F52" s="4">
        <v>450</v>
      </c>
    </row>
    <row r="53" spans="1:7" ht="15.75" customHeight="1">
      <c r="A53" s="1" t="s">
        <v>20</v>
      </c>
      <c r="B53" s="4" t="s">
        <v>24</v>
      </c>
      <c r="C53" s="4" t="s">
        <v>27</v>
      </c>
      <c r="D53" s="4">
        <f>'David Muoka'!B4</f>
        <v>153</v>
      </c>
      <c r="E53" s="4">
        <f>F53-D53</f>
        <v>47</v>
      </c>
      <c r="F53" s="4">
        <v>200</v>
      </c>
    </row>
    <row r="54" spans="1:7" hidden="1">
      <c r="A54" s="1" t="s">
        <v>32</v>
      </c>
      <c r="B54" s="4" t="s">
        <v>24</v>
      </c>
      <c r="C54" s="4" t="s">
        <v>27</v>
      </c>
      <c r="D54" s="4">
        <f>'Yuri Collins'!B4</f>
        <v>841</v>
      </c>
      <c r="E54" s="4">
        <f>F54-D54</f>
        <v>159</v>
      </c>
      <c r="F54" s="4">
        <v>1000</v>
      </c>
    </row>
    <row r="55" spans="1:7">
      <c r="A55" s="1" t="s">
        <v>10</v>
      </c>
      <c r="B55" s="4" t="s">
        <v>24</v>
      </c>
      <c r="C55" s="4" t="s">
        <v>27</v>
      </c>
      <c r="D55" s="4">
        <f>'Trevon Scott'!B4</f>
        <v>353</v>
      </c>
      <c r="E55" s="4">
        <f>F55-D55</f>
        <v>47</v>
      </c>
      <c r="F55" s="4">
        <v>400</v>
      </c>
    </row>
    <row r="56" spans="1:7">
      <c r="A56" s="1" t="s">
        <v>20</v>
      </c>
      <c r="B56" s="4" t="s">
        <v>24</v>
      </c>
      <c r="C56" s="4" t="s">
        <v>12</v>
      </c>
      <c r="D56" s="4">
        <f>'David Muoka'!B5</f>
        <v>51</v>
      </c>
      <c r="E56" s="4">
        <f>F56-D56</f>
        <v>49</v>
      </c>
      <c r="F56" s="4">
        <v>100</v>
      </c>
    </row>
    <row r="57" spans="1:7">
      <c r="A57" s="1" t="s">
        <v>40</v>
      </c>
      <c r="B57" s="4" t="s">
        <v>11</v>
      </c>
      <c r="C57" s="4" t="s">
        <v>25</v>
      </c>
      <c r="D57" s="4">
        <f>'Chaney Johnson'!E3</f>
        <v>150</v>
      </c>
      <c r="E57" s="4">
        <f>F57-D57</f>
        <v>50</v>
      </c>
      <c r="F57" s="4">
        <v>200</v>
      </c>
    </row>
    <row r="58" spans="1:7">
      <c r="A58" s="1" t="s">
        <v>29</v>
      </c>
      <c r="B58" s="4" t="s">
        <v>24</v>
      </c>
      <c r="C58" s="4" t="s">
        <v>25</v>
      </c>
      <c r="D58" s="4">
        <f>'Josh Minott'!B3</f>
        <v>248</v>
      </c>
      <c r="E58" s="4">
        <f>F58-D58</f>
        <v>52</v>
      </c>
      <c r="F58" s="4">
        <v>300</v>
      </c>
    </row>
    <row r="59" spans="1:7">
      <c r="A59" s="1" t="s">
        <v>42</v>
      </c>
      <c r="B59" s="4" t="s">
        <v>24</v>
      </c>
      <c r="C59" s="4" t="s">
        <v>35</v>
      </c>
      <c r="D59" s="5">
        <f>'Alex Schumacher'!B2</f>
        <v>748</v>
      </c>
      <c r="E59" s="5">
        <f>F59-D59</f>
        <v>52</v>
      </c>
      <c r="F59" s="4">
        <v>800</v>
      </c>
    </row>
    <row r="60" spans="1:7" hidden="1">
      <c r="A60" s="1" t="s">
        <v>32</v>
      </c>
      <c r="B60" s="4" t="s">
        <v>24</v>
      </c>
      <c r="C60" s="4" t="s">
        <v>35</v>
      </c>
      <c r="D60" s="4">
        <f>'Yuri Collins'!B2</f>
        <v>1099</v>
      </c>
      <c r="E60" s="4">
        <f>F60-D60</f>
        <v>401</v>
      </c>
      <c r="F60" s="5">
        <v>1500</v>
      </c>
    </row>
    <row r="61" spans="1:7">
      <c r="A61" s="1" t="s">
        <v>29</v>
      </c>
      <c r="B61" s="4" t="s">
        <v>24</v>
      </c>
      <c r="C61" s="4" t="s">
        <v>35</v>
      </c>
      <c r="D61" s="5">
        <f>'Josh Minott'!B2</f>
        <v>646</v>
      </c>
      <c r="E61" s="5">
        <f>F61-D61</f>
        <v>54</v>
      </c>
      <c r="F61" s="4">
        <v>700</v>
      </c>
    </row>
    <row r="62" spans="1:7">
      <c r="A62" s="1" t="s">
        <v>14</v>
      </c>
      <c r="B62" s="4" t="s">
        <v>24</v>
      </c>
      <c r="C62" s="4" t="s">
        <v>27</v>
      </c>
      <c r="D62" s="4">
        <f>'Terry Roberts'!B4</f>
        <v>345</v>
      </c>
      <c r="E62" s="4">
        <f>F62-D62</f>
        <v>55</v>
      </c>
      <c r="F62" s="4">
        <v>400</v>
      </c>
      <c r="G62" s="4" t="s">
        <v>48</v>
      </c>
    </row>
    <row r="63" spans="1:7">
      <c r="A63" s="1" t="s">
        <v>34</v>
      </c>
      <c r="B63" s="4" t="s">
        <v>24</v>
      </c>
      <c r="C63" s="4" t="s">
        <v>27</v>
      </c>
      <c r="D63" s="4">
        <f>'Hunter Cattoor'!B4</f>
        <v>43</v>
      </c>
      <c r="E63" s="4">
        <f>F63-D63</f>
        <v>57</v>
      </c>
      <c r="F63" s="4">
        <v>100</v>
      </c>
    </row>
    <row r="64" spans="1:7">
      <c r="A64" s="1" t="s">
        <v>47</v>
      </c>
      <c r="B64" s="4" t="s">
        <v>24</v>
      </c>
      <c r="C64" s="4" t="s">
        <v>25</v>
      </c>
      <c r="D64" s="4">
        <f>'Grant Nelson'!B3</f>
        <v>137</v>
      </c>
      <c r="E64" s="4">
        <f>F64-D64</f>
        <v>63</v>
      </c>
      <c r="F64" s="4">
        <v>200</v>
      </c>
    </row>
    <row r="65" spans="1:6">
      <c r="A65" s="1" t="s">
        <v>40</v>
      </c>
      <c r="B65" s="4" t="s">
        <v>24</v>
      </c>
      <c r="C65" s="4" t="s">
        <v>25</v>
      </c>
      <c r="D65" s="4">
        <f>'Chaney Johnson'!B3</f>
        <v>237</v>
      </c>
      <c r="E65" s="4">
        <f>F65-D65</f>
        <v>63</v>
      </c>
      <c r="F65" s="4">
        <v>300</v>
      </c>
    </row>
    <row r="66" spans="1:6">
      <c r="A66" s="1" t="s">
        <v>20</v>
      </c>
      <c r="B66" s="4" t="s">
        <v>24</v>
      </c>
      <c r="C66" s="4" t="s">
        <v>35</v>
      </c>
      <c r="D66" s="4">
        <f>'David Muoka'!B2</f>
        <v>935</v>
      </c>
      <c r="E66" s="4">
        <f>F66-D66</f>
        <v>65</v>
      </c>
      <c r="F66" s="4">
        <v>1000</v>
      </c>
    </row>
    <row r="67" spans="1:6">
      <c r="A67" s="1" t="s">
        <v>42</v>
      </c>
      <c r="B67" s="4" t="s">
        <v>24</v>
      </c>
      <c r="C67" s="4" t="s">
        <v>25</v>
      </c>
      <c r="D67" s="4">
        <f>'Alex Schumacher'!B3</f>
        <v>232</v>
      </c>
      <c r="E67" s="4">
        <f>F67-D67</f>
        <v>68</v>
      </c>
      <c r="F67" s="4">
        <v>300</v>
      </c>
    </row>
    <row r="68" spans="1:6">
      <c r="A68" s="1" t="s">
        <v>43</v>
      </c>
      <c r="B68" s="4" t="s">
        <v>24</v>
      </c>
      <c r="C68" s="4" t="s">
        <v>35</v>
      </c>
      <c r="D68" s="5">
        <f>'Danny Wolf'!B2</f>
        <v>127</v>
      </c>
      <c r="E68" s="4">
        <f>F68-D68</f>
        <v>73</v>
      </c>
      <c r="F68" s="4">
        <v>200</v>
      </c>
    </row>
    <row r="69" spans="1:6">
      <c r="A69" s="1" t="s">
        <v>49</v>
      </c>
      <c r="B69" s="4" t="s">
        <v>24</v>
      </c>
      <c r="C69" s="4" t="s">
        <v>25</v>
      </c>
      <c r="D69" s="4">
        <f>'Jamal Mashburn Jr.'!B3</f>
        <v>26</v>
      </c>
      <c r="E69" s="5">
        <f>F69-D69</f>
        <v>74</v>
      </c>
      <c r="F69" s="4">
        <v>100</v>
      </c>
    </row>
    <row r="70" spans="1:6">
      <c r="A70" s="1" t="s">
        <v>44</v>
      </c>
      <c r="B70" s="4" t="s">
        <v>24</v>
      </c>
      <c r="C70" s="4" t="s">
        <v>25</v>
      </c>
      <c r="D70" s="4">
        <f>'Drake Powell'!B3</f>
        <v>25</v>
      </c>
      <c r="E70" s="4">
        <f>F70-D70</f>
        <v>75</v>
      </c>
      <c r="F70" s="4">
        <v>100</v>
      </c>
    </row>
    <row r="71" spans="1:6">
      <c r="A71" s="1" t="s">
        <v>49</v>
      </c>
      <c r="B71" s="4" t="s">
        <v>24</v>
      </c>
      <c r="C71" s="4" t="s">
        <v>35</v>
      </c>
      <c r="D71" s="5">
        <f>'Jamal Mashburn Jr.'!B2</f>
        <v>125</v>
      </c>
      <c r="E71" s="5">
        <f>F71-D71</f>
        <v>75</v>
      </c>
      <c r="F71" s="4">
        <v>200</v>
      </c>
    </row>
    <row r="72" spans="1:6">
      <c r="A72" s="1" t="s">
        <v>37</v>
      </c>
      <c r="B72" s="4" t="s">
        <v>11</v>
      </c>
      <c r="C72" s="4" t="s">
        <v>25</v>
      </c>
      <c r="D72" s="4">
        <f>'E.J. Liddell'!D3</f>
        <v>223</v>
      </c>
      <c r="E72" s="4">
        <f>F72-D72</f>
        <v>77</v>
      </c>
      <c r="F72" s="4">
        <v>300</v>
      </c>
    </row>
    <row r="73" spans="1:6">
      <c r="A73" s="1" t="s">
        <v>41</v>
      </c>
      <c r="B73" s="4" t="s">
        <v>24</v>
      </c>
      <c r="C73" s="4" t="s">
        <v>27</v>
      </c>
      <c r="D73" s="4">
        <f>'Jahlil White'!B4</f>
        <v>23</v>
      </c>
      <c r="E73" s="4">
        <f>F73-D73</f>
        <v>77</v>
      </c>
      <c r="F73" s="4">
        <v>100</v>
      </c>
    </row>
    <row r="74" spans="1:6">
      <c r="A74" s="1" t="s">
        <v>20</v>
      </c>
      <c r="B74" s="4" t="s">
        <v>24</v>
      </c>
      <c r="C74" s="4" t="s">
        <v>25</v>
      </c>
      <c r="D74" s="4">
        <f>'David Muoka'!B3</f>
        <v>823</v>
      </c>
      <c r="E74" s="4">
        <f>F74-D74</f>
        <v>77</v>
      </c>
      <c r="F74" s="4">
        <v>900</v>
      </c>
    </row>
    <row r="75" spans="1:6">
      <c r="A75" s="1" t="s">
        <v>20</v>
      </c>
      <c r="B75" s="4" t="s">
        <v>11</v>
      </c>
      <c r="C75" s="4" t="s">
        <v>35</v>
      </c>
      <c r="D75" s="4">
        <f>'David Muoka'!E2</f>
        <v>423</v>
      </c>
      <c r="E75" s="4">
        <f>F75-D75</f>
        <v>77</v>
      </c>
      <c r="F75" s="4">
        <v>500</v>
      </c>
    </row>
    <row r="76" spans="1:6">
      <c r="A76" s="1" t="s">
        <v>33</v>
      </c>
      <c r="B76" s="4" t="s">
        <v>11</v>
      </c>
      <c r="C76" s="4" t="s">
        <v>27</v>
      </c>
      <c r="D76" s="4">
        <f>'Malachi Smith'!D4</f>
        <v>221</v>
      </c>
      <c r="E76" s="4">
        <f>F76-D76</f>
        <v>79</v>
      </c>
      <c r="F76" s="4">
        <v>300</v>
      </c>
    </row>
    <row r="77" spans="1:6">
      <c r="A77" s="1" t="s">
        <v>43</v>
      </c>
      <c r="B77" s="4" t="s">
        <v>24</v>
      </c>
      <c r="C77" s="4" t="s">
        <v>27</v>
      </c>
      <c r="D77" s="4">
        <f>'Danny Wolf'!B4</f>
        <v>19</v>
      </c>
      <c r="E77" s="4">
        <f>F77-D77</f>
        <v>81</v>
      </c>
      <c r="F77" s="4">
        <v>100</v>
      </c>
    </row>
    <row r="78" spans="1:6">
      <c r="A78" s="1" t="s">
        <v>45</v>
      </c>
      <c r="B78" s="4" t="s">
        <v>24</v>
      </c>
      <c r="C78" s="4" t="s">
        <v>35</v>
      </c>
      <c r="D78" s="5">
        <f>'Ray Harrison'!B2</f>
        <v>18</v>
      </c>
      <c r="E78" s="5">
        <f>F78-D78</f>
        <v>82</v>
      </c>
      <c r="F78" s="4">
        <v>100</v>
      </c>
    </row>
    <row r="79" spans="1:6">
      <c r="A79" s="1" t="s">
        <v>47</v>
      </c>
      <c r="B79" s="4" t="s">
        <v>24</v>
      </c>
      <c r="C79" s="4" t="s">
        <v>21</v>
      </c>
      <c r="D79" s="4">
        <f>'Grant Nelson'!B6</f>
        <v>17</v>
      </c>
      <c r="E79" s="4">
        <f>F79-D79</f>
        <v>83</v>
      </c>
      <c r="F79" s="4">
        <v>100</v>
      </c>
    </row>
    <row r="80" spans="1:6">
      <c r="A80" s="1" t="s">
        <v>49</v>
      </c>
      <c r="B80" s="4" t="s">
        <v>24</v>
      </c>
      <c r="C80" s="4" t="s">
        <v>27</v>
      </c>
      <c r="D80" s="4">
        <f>'Jamal Mashburn Jr.'!B4</f>
        <v>16</v>
      </c>
      <c r="E80" s="4">
        <f>F80-D80</f>
        <v>84</v>
      </c>
      <c r="F80" s="4">
        <v>100</v>
      </c>
    </row>
    <row r="81" spans="1:7">
      <c r="A81" s="1" t="s">
        <v>44</v>
      </c>
      <c r="B81" s="4" t="s">
        <v>24</v>
      </c>
      <c r="C81" s="4" t="s">
        <v>27</v>
      </c>
      <c r="D81" s="4">
        <f>'Drake Powell'!B4</f>
        <v>14</v>
      </c>
      <c r="E81" s="4">
        <f>F81-D81</f>
        <v>86</v>
      </c>
      <c r="F81" s="4">
        <v>100</v>
      </c>
    </row>
    <row r="82" spans="1:7">
      <c r="A82" s="1" t="s">
        <v>20</v>
      </c>
      <c r="B82" s="4" t="s">
        <v>11</v>
      </c>
      <c r="C82" s="4" t="s">
        <v>25</v>
      </c>
      <c r="D82" s="4">
        <f>'David Muoka'!E3</f>
        <v>414</v>
      </c>
      <c r="E82" s="4">
        <f>F82-D82</f>
        <v>86</v>
      </c>
      <c r="F82" s="4">
        <v>500</v>
      </c>
    </row>
    <row r="83" spans="1:7">
      <c r="A83" s="1" t="s">
        <v>47</v>
      </c>
      <c r="B83" s="4" t="s">
        <v>24</v>
      </c>
      <c r="C83" s="4" t="s">
        <v>12</v>
      </c>
      <c r="D83" s="4">
        <f>'Grant Nelson'!B5</f>
        <v>11</v>
      </c>
      <c r="E83" s="4">
        <f>F83-D83</f>
        <v>89</v>
      </c>
      <c r="F83" s="4">
        <v>100</v>
      </c>
    </row>
    <row r="84" spans="1:7">
      <c r="A84" s="1" t="s">
        <v>45</v>
      </c>
      <c r="B84" s="4" t="s">
        <v>24</v>
      </c>
      <c r="C84" s="4" t="s">
        <v>25</v>
      </c>
      <c r="D84" s="4">
        <f>'Ray Harrison'!B3</f>
        <v>11</v>
      </c>
      <c r="E84" s="4">
        <f>F84-D84</f>
        <v>89</v>
      </c>
      <c r="F84" s="4">
        <v>100</v>
      </c>
    </row>
    <row r="85" spans="1:7">
      <c r="A85" s="1" t="s">
        <v>43</v>
      </c>
      <c r="B85" s="4" t="s">
        <v>24</v>
      </c>
      <c r="C85" s="4" t="s">
        <v>21</v>
      </c>
      <c r="D85" s="4">
        <f>'Danny Wolf'!B6</f>
        <v>8</v>
      </c>
      <c r="E85" s="4">
        <f>F85-D85</f>
        <v>92</v>
      </c>
      <c r="F85" s="4">
        <v>100</v>
      </c>
    </row>
    <row r="86" spans="1:7">
      <c r="A86" s="1" t="s">
        <v>17</v>
      </c>
      <c r="B86" s="4" t="s">
        <v>24</v>
      </c>
      <c r="C86" s="4" t="s">
        <v>27</v>
      </c>
      <c r="D86" s="4">
        <f>'Tyson Etienne'!B4</f>
        <v>507</v>
      </c>
      <c r="E86" s="4">
        <f>F86-D86</f>
        <v>93</v>
      </c>
      <c r="F86" s="4">
        <v>600</v>
      </c>
    </row>
    <row r="87" spans="1:7">
      <c r="A87" s="1" t="s">
        <v>43</v>
      </c>
      <c r="B87" s="4" t="s">
        <v>24</v>
      </c>
      <c r="C87" s="4" t="s">
        <v>12</v>
      </c>
      <c r="D87" s="4">
        <f>'Danny Wolf'!B5</f>
        <v>4</v>
      </c>
      <c r="E87" s="4">
        <f>F87-D87</f>
        <v>96</v>
      </c>
      <c r="F87" s="4">
        <v>100</v>
      </c>
    </row>
    <row r="88" spans="1:7">
      <c r="A88" s="1" t="s">
        <v>45</v>
      </c>
      <c r="B88" s="4" t="s">
        <v>24</v>
      </c>
      <c r="C88" s="4" t="s">
        <v>27</v>
      </c>
      <c r="D88" s="4">
        <f>'Ray Harrison'!B4</f>
        <v>4</v>
      </c>
      <c r="E88" s="4">
        <f>F88-D88</f>
        <v>96</v>
      </c>
      <c r="F88" s="4">
        <v>100</v>
      </c>
    </row>
    <row r="89" spans="1:7">
      <c r="A89" s="1" t="s">
        <v>26</v>
      </c>
      <c r="B89" s="4" t="s">
        <v>24</v>
      </c>
      <c r="C89" s="4" t="s">
        <v>35</v>
      </c>
      <c r="D89" s="5">
        <f>'Ben Saraf'!B2</f>
        <v>303</v>
      </c>
      <c r="E89" s="4">
        <f>F89-D89</f>
        <v>97</v>
      </c>
      <c r="F89" s="4">
        <v>400</v>
      </c>
    </row>
    <row r="90" spans="1:7">
      <c r="A90" s="1" t="s">
        <v>30</v>
      </c>
      <c r="B90" s="4" t="s">
        <v>24</v>
      </c>
      <c r="C90" s="4" t="s">
        <v>25</v>
      </c>
      <c r="D90" s="4">
        <f>'Javon Freeman-Liberty'!B3</f>
        <v>502</v>
      </c>
      <c r="E90" s="4">
        <f>F90-D90</f>
        <v>98</v>
      </c>
      <c r="F90" s="4">
        <v>600</v>
      </c>
    </row>
    <row r="91" spans="1:7">
      <c r="A91" s="1" t="s">
        <v>17</v>
      </c>
      <c r="B91" s="4" t="s">
        <v>11</v>
      </c>
      <c r="C91" s="4" t="s">
        <v>35</v>
      </c>
      <c r="D91" s="5">
        <f>'Tyson Etienne'!E2</f>
        <v>1343</v>
      </c>
      <c r="E91" s="5">
        <f>F91-D91</f>
        <v>157</v>
      </c>
      <c r="F91" s="5">
        <v>1500</v>
      </c>
      <c r="G91" s="4" t="s">
        <v>22</v>
      </c>
    </row>
    <row r="92" spans="1:7">
      <c r="A92" s="1" t="s">
        <v>36</v>
      </c>
      <c r="B92" s="4" t="s">
        <v>24</v>
      </c>
      <c r="C92" s="4" t="s">
        <v>35</v>
      </c>
      <c r="D92" s="5">
        <f>'Nolan Traore'!B2</f>
        <v>257</v>
      </c>
      <c r="E92" s="4">
        <f>F92-D92</f>
        <v>243</v>
      </c>
      <c r="F92" s="4">
        <v>500</v>
      </c>
    </row>
    <row r="93" spans="1:7">
      <c r="A93" s="1" t="s">
        <v>10</v>
      </c>
      <c r="B93" s="4" t="s">
        <v>24</v>
      </c>
      <c r="C93" s="4" t="s">
        <v>35</v>
      </c>
      <c r="D93" s="5">
        <f>'Trevon Scott'!B2</f>
        <v>2132</v>
      </c>
      <c r="E93" s="5">
        <f>F93-D93</f>
        <v>368</v>
      </c>
      <c r="F93" s="5">
        <v>2500</v>
      </c>
    </row>
    <row r="94" spans="1:7">
      <c r="A94" s="1" t="s">
        <v>33</v>
      </c>
      <c r="B94" s="4" t="s">
        <v>11</v>
      </c>
      <c r="C94" s="4" t="s">
        <v>35</v>
      </c>
      <c r="D94" s="4">
        <f>'Malachi Smith'!D2</f>
        <v>563</v>
      </c>
      <c r="E94" s="4">
        <f>F94-D94</f>
        <v>374</v>
      </c>
      <c r="F94" s="4">
        <v>937</v>
      </c>
      <c r="G94" s="4" t="s">
        <v>50</v>
      </c>
    </row>
    <row r="95" spans="1:7">
      <c r="A95" s="1" t="s">
        <v>10</v>
      </c>
      <c r="B95" s="4" t="s">
        <v>24</v>
      </c>
      <c r="C95" s="4" t="s">
        <v>25</v>
      </c>
      <c r="D95" s="4">
        <f>'Trevon Scott'!B3</f>
        <v>1118</v>
      </c>
      <c r="E95" s="4">
        <f>F95-D95</f>
        <v>382</v>
      </c>
      <c r="F95" s="5">
        <v>1500</v>
      </c>
    </row>
    <row r="96" spans="1:7">
      <c r="A96" s="1" t="s">
        <v>30</v>
      </c>
      <c r="B96" s="4" t="s">
        <v>24</v>
      </c>
      <c r="C96" s="4" t="s">
        <v>35</v>
      </c>
      <c r="D96" s="5">
        <f>'Javon Freeman-Liberty'!B2</f>
        <v>1614</v>
      </c>
      <c r="E96" s="5">
        <f>F96-D96</f>
        <v>386</v>
      </c>
      <c r="F96" s="5">
        <v>2000</v>
      </c>
    </row>
    <row r="97" spans="1:6">
      <c r="A97" s="1" t="s">
        <v>33</v>
      </c>
      <c r="B97" s="4" t="s">
        <v>24</v>
      </c>
      <c r="C97" s="4" t="s">
        <v>35</v>
      </c>
      <c r="D97" s="5">
        <f>'Malachi Smith'!B2</f>
        <v>1561</v>
      </c>
      <c r="E97" s="5">
        <f>F97-D97</f>
        <v>439</v>
      </c>
      <c r="F97" s="5">
        <v>2000</v>
      </c>
    </row>
    <row r="98" spans="1:6">
      <c r="A98" s="1" t="s">
        <v>17</v>
      </c>
      <c r="B98" s="4" t="s">
        <v>24</v>
      </c>
      <c r="C98" s="4" t="s">
        <v>35</v>
      </c>
      <c r="D98" s="5">
        <f>'Tyson Etienne'!B2</f>
        <v>2042</v>
      </c>
      <c r="E98" s="5">
        <f>F98-D98</f>
        <v>458</v>
      </c>
      <c r="F98" s="5">
        <v>2500</v>
      </c>
    </row>
    <row r="99" spans="1:6">
      <c r="A99" s="1" t="s">
        <v>37</v>
      </c>
      <c r="B99" s="4" t="s">
        <v>24</v>
      </c>
      <c r="C99" s="4" t="s">
        <v>35</v>
      </c>
      <c r="D99" s="5">
        <f>'E.J. Liddell'!B2</f>
        <v>1508</v>
      </c>
      <c r="E99" s="4">
        <f>F99-D99</f>
        <v>492</v>
      </c>
      <c r="F99" s="5">
        <v>2000</v>
      </c>
    </row>
  </sheetData>
  <conditionalFormatting sqref="E1:E1048576">
    <cfRule type="cellIs" dxfId="23" priority="1" operator="lessThan">
      <formula>10</formula>
    </cfRule>
    <cfRule type="cellIs" dxfId="22" priority="2" operator="lessThan">
      <formula>20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79332-1CB9-4802-B432-524B60F68C59}">
  <dimension ref="A1:K99"/>
  <sheetViews>
    <sheetView zoomScale="80" zoomScaleNormal="80" workbookViewId="0">
      <selection activeCell="H59" sqref="H59"/>
    </sheetView>
  </sheetViews>
  <sheetFormatPr defaultRowHeight="15"/>
  <cols>
    <col min="1" max="1" width="20.42578125" style="1" customWidth="1"/>
    <col min="2" max="2" width="17.140625" style="4" customWidth="1"/>
    <col min="3" max="3" width="20.85546875" style="4" customWidth="1"/>
    <col min="4" max="4" width="15" style="4" customWidth="1"/>
    <col min="5" max="5" width="15.42578125" style="4" customWidth="1"/>
    <col min="6" max="6" width="20.42578125" style="4" bestFit="1" customWidth="1"/>
    <col min="7" max="7" width="32" style="4" customWidth="1"/>
    <col min="8" max="8" width="17.140625" style="4" customWidth="1"/>
    <col min="9" max="9" width="11.42578125" bestFit="1" customWidth="1"/>
    <col min="10" max="10" width="10.7109375" bestFit="1" customWidth="1"/>
  </cols>
  <sheetData>
    <row r="1" spans="1:1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t="s">
        <v>8</v>
      </c>
      <c r="J1" t="s">
        <v>9</v>
      </c>
      <c r="K1" s="3"/>
    </row>
    <row r="2" spans="1:11" ht="14.45">
      <c r="A2" s="1" t="s">
        <v>20</v>
      </c>
      <c r="B2" s="4" t="s">
        <v>11</v>
      </c>
      <c r="C2" s="4" t="s">
        <v>51</v>
      </c>
      <c r="D2" s="4">
        <f>'David Muoka'!B23</f>
        <v>0</v>
      </c>
      <c r="E2" s="4">
        <f>F2-D2</f>
        <v>2</v>
      </c>
      <c r="F2" s="4">
        <v>2</v>
      </c>
      <c r="G2" s="4" t="s">
        <v>52</v>
      </c>
      <c r="K2" s="4"/>
    </row>
    <row r="3" spans="1:11" ht="14.45">
      <c r="A3" s="1" t="s">
        <v>10</v>
      </c>
      <c r="B3" s="4" t="s">
        <v>11</v>
      </c>
      <c r="C3" s="4" t="s">
        <v>51</v>
      </c>
      <c r="D3" s="4">
        <f>'Trevon Scott'!B23</f>
        <v>0</v>
      </c>
      <c r="E3" s="4">
        <f>F3-D3</f>
        <v>2</v>
      </c>
      <c r="F3" s="4">
        <v>2</v>
      </c>
      <c r="G3" s="4" t="s">
        <v>52</v>
      </c>
      <c r="K3" s="4"/>
    </row>
    <row r="4" spans="1:11" ht="14.45">
      <c r="A4" s="1" t="s">
        <v>14</v>
      </c>
      <c r="B4" s="4" t="s">
        <v>11</v>
      </c>
      <c r="C4" s="4" t="s">
        <v>51</v>
      </c>
      <c r="D4" s="4">
        <f>'Terry Roberts'!B23</f>
        <v>0</v>
      </c>
      <c r="E4" s="4">
        <f>F4-D4</f>
        <v>2</v>
      </c>
      <c r="F4" s="4">
        <v>2</v>
      </c>
      <c r="G4" s="4" t="s">
        <v>53</v>
      </c>
      <c r="K4" s="4"/>
    </row>
    <row r="5" spans="1:11" ht="14.45">
      <c r="A5" s="1" t="s">
        <v>37</v>
      </c>
      <c r="B5" s="4" t="s">
        <v>11</v>
      </c>
      <c r="C5" s="4" t="s">
        <v>51</v>
      </c>
      <c r="D5" s="4">
        <f>'E.J. Liddell'!B23</f>
        <v>0</v>
      </c>
      <c r="E5" s="4">
        <f>F5-D5</f>
        <v>2</v>
      </c>
      <c r="F5" s="4">
        <v>2</v>
      </c>
      <c r="G5" s="4" t="s">
        <v>52</v>
      </c>
      <c r="K5" s="4"/>
    </row>
    <row r="6" spans="1:11" ht="14.45">
      <c r="A6" s="1" t="s">
        <v>40</v>
      </c>
      <c r="B6" s="4" t="s">
        <v>11</v>
      </c>
      <c r="C6" s="4" t="s">
        <v>51</v>
      </c>
      <c r="D6" s="4">
        <f>'Chaney Johnson'!B23</f>
        <v>0</v>
      </c>
      <c r="E6" s="4">
        <f>F6-D6</f>
        <v>2</v>
      </c>
      <c r="F6" s="4">
        <v>2</v>
      </c>
      <c r="G6" s="4" t="s">
        <v>52</v>
      </c>
      <c r="K6" s="4"/>
    </row>
    <row r="7" spans="1:11" ht="14.45">
      <c r="A7" s="1" t="s">
        <v>17</v>
      </c>
      <c r="B7" s="4" t="s">
        <v>11</v>
      </c>
      <c r="C7" s="4" t="s">
        <v>51</v>
      </c>
      <c r="D7" s="4">
        <f>'Tyson Etienne'!B23</f>
        <v>0</v>
      </c>
      <c r="E7" s="4">
        <f>F7-D7</f>
        <v>2</v>
      </c>
      <c r="F7" s="4">
        <v>2</v>
      </c>
      <c r="G7" s="4" t="s">
        <v>52</v>
      </c>
      <c r="K7" s="4"/>
    </row>
    <row r="8" spans="1:11" ht="14.45">
      <c r="A8" s="1" t="s">
        <v>33</v>
      </c>
      <c r="B8" s="4" t="s">
        <v>11</v>
      </c>
      <c r="C8" s="4" t="s">
        <v>51</v>
      </c>
      <c r="D8" s="4">
        <f>'Malachi Smith'!B23</f>
        <v>0</v>
      </c>
      <c r="E8" s="4">
        <f>F8-D8</f>
        <v>2</v>
      </c>
      <c r="F8" s="4">
        <v>2</v>
      </c>
      <c r="G8" s="4" t="s">
        <v>52</v>
      </c>
      <c r="K8" s="4"/>
    </row>
    <row r="9" spans="1:11" ht="14.45">
      <c r="A9" s="1" t="s">
        <v>18</v>
      </c>
      <c r="B9" s="4" t="s">
        <v>11</v>
      </c>
      <c r="C9" s="4" t="s">
        <v>19</v>
      </c>
      <c r="D9" s="4">
        <f>'Mfon Udofia'!C6</f>
        <v>2</v>
      </c>
      <c r="E9" s="4">
        <f>F9-D9</f>
        <v>2</v>
      </c>
      <c r="F9" s="4">
        <v>4</v>
      </c>
      <c r="G9" s="4" t="s">
        <v>54</v>
      </c>
      <c r="K9" s="4"/>
    </row>
    <row r="10" spans="1:11" ht="14.45">
      <c r="A10" s="1" t="s">
        <v>20</v>
      </c>
      <c r="B10" s="4" t="s">
        <v>11</v>
      </c>
      <c r="C10" s="4" t="s">
        <v>15</v>
      </c>
      <c r="D10" s="4">
        <f>'David Muoka'!B26</f>
        <v>4</v>
      </c>
      <c r="E10" s="4">
        <f>F10-D10</f>
        <v>2</v>
      </c>
      <c r="F10" s="4">
        <v>6</v>
      </c>
      <c r="G10" s="4" t="s">
        <v>55</v>
      </c>
      <c r="K10" s="4"/>
    </row>
    <row r="11" spans="1:11" ht="14.45">
      <c r="A11" s="1" t="s">
        <v>20</v>
      </c>
      <c r="B11" s="4" t="s">
        <v>11</v>
      </c>
      <c r="C11" s="4" t="s">
        <v>25</v>
      </c>
      <c r="D11" s="4">
        <f>'David Muoka'!B17</f>
        <v>27</v>
      </c>
      <c r="E11" s="4">
        <f>F11-D11</f>
        <v>6</v>
      </c>
      <c r="F11" s="4">
        <v>33</v>
      </c>
      <c r="G11" s="4" t="s">
        <v>56</v>
      </c>
      <c r="K11" s="4"/>
    </row>
    <row r="12" spans="1:11" ht="14.45">
      <c r="A12" s="1" t="s">
        <v>20</v>
      </c>
      <c r="B12" s="4" t="s">
        <v>11</v>
      </c>
      <c r="C12" s="4" t="s">
        <v>21</v>
      </c>
      <c r="D12" s="4">
        <f>'David Muoka'!B20</f>
        <v>7</v>
      </c>
      <c r="E12" s="4">
        <f>F12-D12</f>
        <v>8</v>
      </c>
      <c r="F12" s="4">
        <v>15</v>
      </c>
      <c r="G12" s="4" t="s">
        <v>57</v>
      </c>
      <c r="K12" s="4"/>
    </row>
    <row r="13" spans="1:11" ht="14.45">
      <c r="A13" s="1" t="s">
        <v>33</v>
      </c>
      <c r="B13" s="4" t="s">
        <v>11</v>
      </c>
      <c r="C13" s="4" t="s">
        <v>12</v>
      </c>
      <c r="D13" s="4">
        <f>'Malachi Smith'!B19</f>
        <v>2</v>
      </c>
      <c r="E13" s="4">
        <f>F13-D13</f>
        <v>9</v>
      </c>
      <c r="F13" s="4">
        <v>11</v>
      </c>
      <c r="G13" s="4" t="s">
        <v>58</v>
      </c>
      <c r="K13" s="4"/>
    </row>
    <row r="14" spans="1:11" ht="14.45">
      <c r="A14" s="1" t="s">
        <v>17</v>
      </c>
      <c r="B14" s="4" t="s">
        <v>11</v>
      </c>
      <c r="C14" s="4" t="s">
        <v>12</v>
      </c>
      <c r="D14" s="4">
        <f>'Tyson Etienne'!B19</f>
        <v>1</v>
      </c>
      <c r="E14" s="4">
        <f>F14-D14</f>
        <v>10</v>
      </c>
      <c r="F14" s="4">
        <v>11</v>
      </c>
      <c r="G14" s="4" t="s">
        <v>58</v>
      </c>
      <c r="K14" s="4"/>
    </row>
    <row r="15" spans="1:11" ht="14.45">
      <c r="A15" s="1" t="s">
        <v>40</v>
      </c>
      <c r="B15" s="4" t="s">
        <v>11</v>
      </c>
      <c r="C15" s="4" t="s">
        <v>12</v>
      </c>
      <c r="D15" s="4">
        <f>'Chaney Johnson'!B19</f>
        <v>1</v>
      </c>
      <c r="E15" s="4">
        <f>F15-D15</f>
        <v>10</v>
      </c>
      <c r="F15" s="4">
        <v>11</v>
      </c>
      <c r="G15" s="4" t="s">
        <v>58</v>
      </c>
      <c r="K15" s="4"/>
    </row>
    <row r="16" spans="1:11" ht="14.45">
      <c r="A16" s="1" t="s">
        <v>10</v>
      </c>
      <c r="B16" s="4" t="s">
        <v>11</v>
      </c>
      <c r="C16" s="5" t="s">
        <v>12</v>
      </c>
      <c r="D16" s="5">
        <f>'Trevon Scott'!D19</f>
        <v>0</v>
      </c>
      <c r="E16" s="5">
        <f>F16-D16</f>
        <v>11</v>
      </c>
      <c r="F16" s="5">
        <v>11</v>
      </c>
      <c r="G16" s="4" t="s">
        <v>58</v>
      </c>
      <c r="K16" s="4"/>
    </row>
    <row r="17" spans="1:11" ht="14.45" hidden="1">
      <c r="A17" s="20" t="s">
        <v>32</v>
      </c>
      <c r="B17" s="4" t="s">
        <v>24</v>
      </c>
      <c r="C17" s="4" t="s">
        <v>25</v>
      </c>
      <c r="D17" s="4">
        <f>'Yuri Collins'!B3</f>
        <v>332</v>
      </c>
      <c r="E17" s="4">
        <f>F17-D17</f>
        <v>18</v>
      </c>
      <c r="F17" s="4">
        <v>350</v>
      </c>
      <c r="K17" s="4"/>
    </row>
    <row r="18" spans="1:11" ht="14.45">
      <c r="A18" s="1" t="s">
        <v>14</v>
      </c>
      <c r="B18" s="4" t="s">
        <v>11</v>
      </c>
      <c r="C18" s="4" t="s">
        <v>12</v>
      </c>
      <c r="D18" s="4">
        <f>'Terry Roberts'!B19</f>
        <v>0</v>
      </c>
      <c r="E18" s="4">
        <f>F18-D18</f>
        <v>11</v>
      </c>
      <c r="F18" s="4">
        <v>11</v>
      </c>
      <c r="G18" s="4" t="s">
        <v>58</v>
      </c>
      <c r="K18" s="4"/>
    </row>
    <row r="19" spans="1:11" ht="14.45" hidden="1">
      <c r="A19" s="1" t="s">
        <v>32</v>
      </c>
      <c r="B19" s="4" t="s">
        <v>24</v>
      </c>
      <c r="C19" s="4" t="s">
        <v>12</v>
      </c>
      <c r="D19" s="4">
        <f>'Yuri Collins'!B5</f>
        <v>126</v>
      </c>
      <c r="E19" s="4">
        <f>F19-D19</f>
        <v>24</v>
      </c>
      <c r="F19" s="4">
        <v>150</v>
      </c>
      <c r="K19" s="4"/>
    </row>
    <row r="20" spans="1:11" ht="14.45">
      <c r="A20" s="1" t="s">
        <v>37</v>
      </c>
      <c r="B20" s="4" t="s">
        <v>11</v>
      </c>
      <c r="C20" s="4" t="s">
        <v>12</v>
      </c>
      <c r="D20" s="4">
        <f>'E.J. Liddell'!B19</f>
        <v>0</v>
      </c>
      <c r="E20" s="4">
        <f>F20-D20</f>
        <v>11</v>
      </c>
      <c r="F20" s="4">
        <v>11</v>
      </c>
      <c r="G20" s="4" t="s">
        <v>58</v>
      </c>
      <c r="K20" s="4"/>
    </row>
    <row r="21" spans="1:11" ht="14.45">
      <c r="A21" s="1" t="s">
        <v>33</v>
      </c>
      <c r="B21" s="4" t="s">
        <v>11</v>
      </c>
      <c r="C21" s="4" t="s">
        <v>38</v>
      </c>
      <c r="D21" s="4">
        <f>'Malachi Smith'!B22</f>
        <v>3</v>
      </c>
      <c r="E21" s="4">
        <f>F21-D21</f>
        <v>11</v>
      </c>
      <c r="F21" s="4">
        <v>14</v>
      </c>
      <c r="G21" s="4" t="s">
        <v>59</v>
      </c>
      <c r="K21" s="4"/>
    </row>
    <row r="22" spans="1:11" ht="14.45">
      <c r="A22" s="1" t="s">
        <v>33</v>
      </c>
      <c r="B22" s="4" t="s">
        <v>11</v>
      </c>
      <c r="C22" s="4" t="s">
        <v>27</v>
      </c>
      <c r="D22" s="4">
        <f>'Malachi Smith'!B18</f>
        <v>4</v>
      </c>
      <c r="E22" s="4">
        <f>F22-D22</f>
        <v>11</v>
      </c>
      <c r="F22" s="5">
        <v>15</v>
      </c>
      <c r="G22" s="4" t="s">
        <v>59</v>
      </c>
      <c r="K22" s="4"/>
    </row>
    <row r="23" spans="1:11" ht="14.45">
      <c r="A23" s="1" t="s">
        <v>17</v>
      </c>
      <c r="B23" s="4" t="s">
        <v>11</v>
      </c>
      <c r="C23" s="4" t="s">
        <v>38</v>
      </c>
      <c r="D23" s="4">
        <f>'Tyson Etienne'!B22</f>
        <v>2</v>
      </c>
      <c r="E23" s="4">
        <f>F23-D23</f>
        <v>12</v>
      </c>
      <c r="F23" s="4">
        <v>14</v>
      </c>
      <c r="G23" s="4" t="s">
        <v>59</v>
      </c>
      <c r="K23" s="4"/>
    </row>
    <row r="24" spans="1:11" ht="14.45">
      <c r="A24" s="1" t="s">
        <v>37</v>
      </c>
      <c r="B24" s="4" t="s">
        <v>11</v>
      </c>
      <c r="C24" s="4" t="s">
        <v>21</v>
      </c>
      <c r="D24" s="5">
        <f>'E.J. Liddell'!B20</f>
        <v>3</v>
      </c>
      <c r="E24" s="4">
        <f>F24-D24</f>
        <v>12</v>
      </c>
      <c r="F24" s="4">
        <v>15</v>
      </c>
      <c r="G24" s="4" t="s">
        <v>57</v>
      </c>
      <c r="K24" s="4"/>
    </row>
    <row r="25" spans="1:11" ht="14.45">
      <c r="A25" s="1" t="s">
        <v>34</v>
      </c>
      <c r="B25" s="4" t="s">
        <v>11</v>
      </c>
      <c r="C25" s="4" t="s">
        <v>38</v>
      </c>
      <c r="D25" s="4">
        <f>'Hunter Cattoor'!B22</f>
        <v>0</v>
      </c>
      <c r="E25" s="4">
        <f>F25-D25</f>
        <v>14</v>
      </c>
      <c r="F25" s="4">
        <v>14</v>
      </c>
      <c r="G25" s="4" t="s">
        <v>59</v>
      </c>
      <c r="K25" s="4"/>
    </row>
    <row r="26" spans="1:11" ht="14.45">
      <c r="A26" s="1" t="s">
        <v>40</v>
      </c>
      <c r="B26" s="4" t="s">
        <v>11</v>
      </c>
      <c r="C26" s="4" t="s">
        <v>21</v>
      </c>
      <c r="D26" s="4">
        <f>'Chaney Johnson'!B20</f>
        <v>1</v>
      </c>
      <c r="E26" s="4">
        <f>F26-D26</f>
        <v>14</v>
      </c>
      <c r="F26" s="4">
        <v>15</v>
      </c>
      <c r="G26" s="4" t="s">
        <v>57</v>
      </c>
      <c r="K26" s="4"/>
    </row>
    <row r="27" spans="1:11" ht="14.45">
      <c r="A27" s="1" t="s">
        <v>14</v>
      </c>
      <c r="B27" s="4" t="s">
        <v>11</v>
      </c>
      <c r="C27" s="4" t="s">
        <v>27</v>
      </c>
      <c r="D27" s="4">
        <f>'Terry Roberts'!B18</f>
        <v>0</v>
      </c>
      <c r="E27" s="4">
        <f>F27-D27</f>
        <v>15</v>
      </c>
      <c r="F27" s="4">
        <v>15</v>
      </c>
      <c r="G27" s="4" t="s">
        <v>60</v>
      </c>
      <c r="K27" s="4"/>
    </row>
    <row r="28" spans="1:11" ht="14.45">
      <c r="A28" s="1" t="s">
        <v>17</v>
      </c>
      <c r="B28" s="4" t="s">
        <v>11</v>
      </c>
      <c r="C28" s="4" t="s">
        <v>27</v>
      </c>
      <c r="D28" s="4">
        <f>'Tyson Etienne'!B18</f>
        <v>0</v>
      </c>
      <c r="E28" s="4">
        <f>F28-D28</f>
        <v>15</v>
      </c>
      <c r="F28" s="4">
        <v>15</v>
      </c>
      <c r="G28" s="4" t="s">
        <v>60</v>
      </c>
      <c r="K28" s="4"/>
    </row>
    <row r="29" spans="1:11" ht="14.45">
      <c r="A29" s="1" t="s">
        <v>37</v>
      </c>
      <c r="B29" s="4" t="s">
        <v>11</v>
      </c>
      <c r="C29" s="4" t="s">
        <v>25</v>
      </c>
      <c r="D29" s="5">
        <f>'E.J. Liddell'!B17</f>
        <v>9</v>
      </c>
      <c r="E29" s="4">
        <f>F29-D29</f>
        <v>24</v>
      </c>
      <c r="F29" s="5">
        <v>33</v>
      </c>
      <c r="G29" s="4" t="s">
        <v>56</v>
      </c>
      <c r="K29" s="4"/>
    </row>
    <row r="30" spans="1:11" ht="14.45">
      <c r="A30" s="1" t="s">
        <v>42</v>
      </c>
      <c r="B30" s="4" t="s">
        <v>24</v>
      </c>
      <c r="C30" s="4" t="s">
        <v>35</v>
      </c>
      <c r="D30" s="5">
        <f>'Alex Schumacher'!B16</f>
        <v>23</v>
      </c>
      <c r="E30" s="5">
        <f>F30-D30</f>
        <v>27</v>
      </c>
      <c r="F30" s="4">
        <v>50</v>
      </c>
      <c r="K30" s="4"/>
    </row>
    <row r="31" spans="1:11" ht="14.45">
      <c r="A31" s="1" t="s">
        <v>33</v>
      </c>
      <c r="B31" s="4" t="s">
        <v>11</v>
      </c>
      <c r="C31" s="4" t="s">
        <v>25</v>
      </c>
      <c r="D31" s="4">
        <f>'Malachi Smith'!B17</f>
        <v>6</v>
      </c>
      <c r="E31" s="4">
        <f>F31-D31</f>
        <v>27</v>
      </c>
      <c r="F31" s="4">
        <v>33</v>
      </c>
      <c r="G31" s="4" t="s">
        <v>56</v>
      </c>
      <c r="K31" s="4"/>
    </row>
    <row r="32" spans="1:11" ht="14.45">
      <c r="A32" s="1" t="s">
        <v>40</v>
      </c>
      <c r="B32" s="4" t="s">
        <v>11</v>
      </c>
      <c r="C32" s="4" t="s">
        <v>25</v>
      </c>
      <c r="D32" s="4">
        <f>'Chaney Johnson'!B17</f>
        <v>6</v>
      </c>
      <c r="E32" s="4">
        <f>F32-D32</f>
        <v>27</v>
      </c>
      <c r="F32" s="4">
        <v>33</v>
      </c>
      <c r="G32" s="4" t="s">
        <v>56</v>
      </c>
      <c r="K32" s="4"/>
    </row>
    <row r="33" spans="1:11" ht="14.45">
      <c r="A33" s="1" t="s">
        <v>37</v>
      </c>
      <c r="B33" s="4" t="s">
        <v>11</v>
      </c>
      <c r="C33" s="4" t="s">
        <v>35</v>
      </c>
      <c r="D33" s="4">
        <f>'E.J. Liddell'!B16</f>
        <v>32</v>
      </c>
      <c r="E33" s="4">
        <f>F33-D33</f>
        <v>28</v>
      </c>
      <c r="F33" s="4">
        <v>60</v>
      </c>
      <c r="G33" s="4" t="s">
        <v>61</v>
      </c>
      <c r="K33" s="4"/>
    </row>
    <row r="34" spans="1:11" ht="14.45">
      <c r="A34" s="1" t="s">
        <v>10</v>
      </c>
      <c r="B34" s="4" t="s">
        <v>11</v>
      </c>
      <c r="C34" s="4" t="s">
        <v>25</v>
      </c>
      <c r="D34" s="4">
        <f>'Trevon Scott'!D17</f>
        <v>3</v>
      </c>
      <c r="E34" s="4">
        <f>F34-D34</f>
        <v>30</v>
      </c>
      <c r="F34" s="4">
        <v>33</v>
      </c>
      <c r="G34" s="4" t="s">
        <v>56</v>
      </c>
      <c r="K34" s="4"/>
    </row>
    <row r="35" spans="1:11" ht="14.45">
      <c r="A35" s="1" t="s">
        <v>20</v>
      </c>
      <c r="B35" s="4" t="s">
        <v>11</v>
      </c>
      <c r="C35" s="4" t="s">
        <v>35</v>
      </c>
      <c r="D35" s="4">
        <f>'David Muoka'!B16</f>
        <v>30</v>
      </c>
      <c r="E35" s="4">
        <f>F35-D35</f>
        <v>30</v>
      </c>
      <c r="F35" s="4">
        <v>60</v>
      </c>
      <c r="G35" s="4" t="s">
        <v>61</v>
      </c>
      <c r="K35" s="4"/>
    </row>
    <row r="36" spans="1:11" ht="14.45">
      <c r="A36" s="1" t="s">
        <v>10</v>
      </c>
      <c r="B36" s="4" t="s">
        <v>24</v>
      </c>
      <c r="C36" s="4" t="s">
        <v>35</v>
      </c>
      <c r="D36" s="4">
        <f>'Trevon Scott'!B16</f>
        <v>12</v>
      </c>
      <c r="E36" s="4">
        <f>F36-D36</f>
        <v>38</v>
      </c>
      <c r="F36" s="4">
        <v>50</v>
      </c>
      <c r="K36" s="4"/>
    </row>
    <row r="37" spans="1:11" ht="14.45">
      <c r="A37" s="1" t="s">
        <v>40</v>
      </c>
      <c r="B37" s="4" t="s">
        <v>11</v>
      </c>
      <c r="C37" s="4" t="s">
        <v>35</v>
      </c>
      <c r="D37" s="4">
        <f>'Chaney Johnson'!B16</f>
        <v>22</v>
      </c>
      <c r="E37" s="4">
        <f>F37-D37</f>
        <v>38</v>
      </c>
      <c r="F37" s="4">
        <v>60</v>
      </c>
      <c r="G37" s="4" t="s">
        <v>61</v>
      </c>
      <c r="K37" s="4"/>
    </row>
    <row r="38" spans="1:11" ht="14.45">
      <c r="A38" s="1" t="s">
        <v>10</v>
      </c>
      <c r="B38" s="4" t="s">
        <v>24</v>
      </c>
      <c r="C38" s="4" t="s">
        <v>25</v>
      </c>
      <c r="D38" s="5">
        <f>'Trevon Scott'!B17</f>
        <v>11</v>
      </c>
      <c r="E38" s="4">
        <f>F38-D38</f>
        <v>39</v>
      </c>
      <c r="F38" s="4">
        <v>50</v>
      </c>
      <c r="K38" s="4"/>
    </row>
    <row r="39" spans="1:11" ht="14.45">
      <c r="A39" s="1" t="s">
        <v>42</v>
      </c>
      <c r="B39" s="4" t="s">
        <v>24</v>
      </c>
      <c r="C39" s="4" t="s">
        <v>25</v>
      </c>
      <c r="D39" s="4">
        <f>'Alex Schumacher'!B17</f>
        <v>10</v>
      </c>
      <c r="E39" s="4">
        <f>F39-D39</f>
        <v>40</v>
      </c>
      <c r="F39" s="4">
        <v>50</v>
      </c>
      <c r="K39" s="4"/>
    </row>
    <row r="40" spans="1:11" ht="14.45">
      <c r="A40" s="1" t="s">
        <v>42</v>
      </c>
      <c r="B40" s="4" t="s">
        <v>24</v>
      </c>
      <c r="C40" s="4" t="s">
        <v>27</v>
      </c>
      <c r="D40" s="4">
        <f>'Alex Schumacher'!B18</f>
        <v>7</v>
      </c>
      <c r="E40" s="4">
        <f>F40-D40</f>
        <v>43</v>
      </c>
      <c r="F40" s="4">
        <v>50</v>
      </c>
      <c r="K40" s="4"/>
    </row>
    <row r="41" spans="1:11" ht="14.45">
      <c r="A41" s="1" t="s">
        <v>23</v>
      </c>
      <c r="B41" s="4" t="s">
        <v>11</v>
      </c>
      <c r="C41" s="4" t="s">
        <v>35</v>
      </c>
      <c r="D41" s="5">
        <f>'D''Andre Davis'!B16</f>
        <v>8</v>
      </c>
      <c r="E41" s="5">
        <f>F41-D41</f>
        <v>52</v>
      </c>
      <c r="F41" s="5">
        <v>60</v>
      </c>
      <c r="G41" s="4" t="s">
        <v>62</v>
      </c>
      <c r="K41" s="4"/>
    </row>
    <row r="42" spans="1:11" ht="14.45">
      <c r="A42" s="1" t="s">
        <v>34</v>
      </c>
      <c r="B42" s="4" t="s">
        <v>11</v>
      </c>
      <c r="C42" s="4" t="s">
        <v>35</v>
      </c>
      <c r="D42" s="4">
        <f>'Hunter Cattoor'!B16</f>
        <v>5</v>
      </c>
      <c r="E42" s="4">
        <f>F42-D42</f>
        <v>55</v>
      </c>
      <c r="F42" s="4">
        <v>60</v>
      </c>
      <c r="G42" s="4" t="s">
        <v>62</v>
      </c>
      <c r="K42" s="4"/>
    </row>
    <row r="43" spans="1:11" ht="14.45">
      <c r="A43" s="1" t="s">
        <v>33</v>
      </c>
      <c r="B43" s="4" t="s">
        <v>11</v>
      </c>
      <c r="C43" s="4" t="s">
        <v>35</v>
      </c>
      <c r="D43" s="4">
        <f>'Malachi Smith'!B16</f>
        <v>29</v>
      </c>
      <c r="E43" s="4">
        <f>F43-D43</f>
        <v>56</v>
      </c>
      <c r="F43" s="4">
        <v>85</v>
      </c>
      <c r="G43" s="4" t="s">
        <v>62</v>
      </c>
      <c r="K43" s="4"/>
    </row>
    <row r="44" spans="1:11" ht="14.45">
      <c r="A44" s="1" t="s">
        <v>10</v>
      </c>
      <c r="B44" s="4" t="s">
        <v>11</v>
      </c>
      <c r="C44" s="4" t="s">
        <v>35</v>
      </c>
      <c r="D44" s="4">
        <f>'Trevon Scott'!D16</f>
        <v>3</v>
      </c>
      <c r="E44" s="4">
        <f>F44-D44</f>
        <v>57</v>
      </c>
      <c r="F44" s="4">
        <v>60</v>
      </c>
      <c r="G44" s="4" t="s">
        <v>61</v>
      </c>
      <c r="K44" s="4"/>
    </row>
    <row r="45" spans="1:11" ht="14.45">
      <c r="A45" s="1" t="s">
        <v>30</v>
      </c>
      <c r="B45" s="4" t="s">
        <v>11</v>
      </c>
      <c r="C45" s="4" t="s">
        <v>35</v>
      </c>
      <c r="D45" s="4">
        <f>'Javon Freeman-Liberty'!B16</f>
        <v>2</v>
      </c>
      <c r="E45" s="4">
        <f>F45-D45</f>
        <v>58</v>
      </c>
      <c r="F45" s="4">
        <v>60</v>
      </c>
      <c r="G45" s="4" t="s">
        <v>61</v>
      </c>
      <c r="K45" s="4"/>
    </row>
    <row r="46" spans="1:11" ht="14.45">
      <c r="A46" s="1" t="s">
        <v>14</v>
      </c>
      <c r="B46" s="4" t="s">
        <v>11</v>
      </c>
      <c r="C46" s="4" t="s">
        <v>35</v>
      </c>
      <c r="D46" s="4">
        <f>'Terry Roberts'!B16</f>
        <v>0</v>
      </c>
      <c r="E46" s="4">
        <f>F46-D46</f>
        <v>60</v>
      </c>
      <c r="F46" s="4">
        <v>60</v>
      </c>
      <c r="G46" s="4" t="s">
        <v>61</v>
      </c>
      <c r="K46" s="4"/>
    </row>
    <row r="47" spans="1:11" ht="14.45">
      <c r="A47" s="1" t="s">
        <v>42</v>
      </c>
      <c r="B47" s="4" t="s">
        <v>11</v>
      </c>
      <c r="C47" s="4" t="s">
        <v>35</v>
      </c>
      <c r="D47" s="4">
        <f>'Alex Schumacher'!D16</f>
        <v>0</v>
      </c>
      <c r="E47" s="4">
        <f>F47-D47</f>
        <v>60</v>
      </c>
      <c r="F47" s="4">
        <v>60</v>
      </c>
      <c r="G47" s="4" t="s">
        <v>61</v>
      </c>
      <c r="K47" s="4"/>
    </row>
    <row r="48" spans="1:11" ht="14.45">
      <c r="A48" s="1" t="s">
        <v>17</v>
      </c>
      <c r="B48" s="4" t="s">
        <v>11</v>
      </c>
      <c r="C48" s="4" t="s">
        <v>35</v>
      </c>
      <c r="D48" s="4">
        <f>'Tyson Etienne'!B16</f>
        <v>12</v>
      </c>
      <c r="E48" s="4">
        <f>F48-D48</f>
        <v>73</v>
      </c>
      <c r="F48" s="4">
        <v>85</v>
      </c>
      <c r="G48" s="4" t="s">
        <v>62</v>
      </c>
      <c r="K48" s="4"/>
    </row>
    <row r="49" spans="4:11" ht="14.45">
      <c r="K49" s="4"/>
    </row>
    <row r="50" spans="4:11" ht="14.45">
      <c r="K50" s="4"/>
    </row>
    <row r="51" spans="4:11" ht="14.45">
      <c r="K51" s="4"/>
    </row>
    <row r="52" spans="4:11" ht="14.45">
      <c r="K52" s="4"/>
    </row>
    <row r="53" spans="4:11" ht="14.45">
      <c r="K53" s="4"/>
    </row>
    <row r="54" spans="4:11" ht="14.45">
      <c r="K54" s="4"/>
    </row>
    <row r="55" spans="4:11" ht="14.45">
      <c r="K55" s="4"/>
    </row>
    <row r="56" spans="4:11" ht="14.45">
      <c r="K56" s="4"/>
    </row>
    <row r="57" spans="4:11" ht="14.45">
      <c r="K57" s="4"/>
    </row>
    <row r="58" spans="4:11" ht="14.45"/>
    <row r="59" spans="4:11" ht="14.45">
      <c r="D59" s="5"/>
      <c r="E59" s="5"/>
    </row>
    <row r="60" spans="4:11" ht="14.45">
      <c r="F60" s="5"/>
    </row>
    <row r="61" spans="4:11" ht="14.45">
      <c r="D61" s="5"/>
      <c r="E61" s="5"/>
    </row>
    <row r="62" spans="4:11" ht="14.45"/>
    <row r="63" spans="4:11" ht="14.45"/>
    <row r="64" spans="4:11" ht="14.45"/>
    <row r="65" spans="4:5" ht="14.45"/>
    <row r="66" spans="4:5" ht="14.45"/>
    <row r="67" spans="4:5" ht="14.45"/>
    <row r="68" spans="4:5" ht="14.45">
      <c r="D68" s="5"/>
    </row>
    <row r="69" spans="4:5" ht="14.45">
      <c r="E69" s="5"/>
    </row>
    <row r="70" spans="4:5" ht="14.45"/>
    <row r="71" spans="4:5" ht="14.45">
      <c r="D71" s="5"/>
      <c r="E71" s="5"/>
    </row>
    <row r="72" spans="4:5" ht="14.45"/>
    <row r="73" spans="4:5" ht="14.45"/>
    <row r="74" spans="4:5" ht="14.45"/>
    <row r="75" spans="4:5" ht="14.45"/>
    <row r="76" spans="4:5" ht="14.45"/>
    <row r="77" spans="4:5" ht="14.45"/>
    <row r="78" spans="4:5" ht="14.45">
      <c r="D78" s="5"/>
      <c r="E78" s="5"/>
    </row>
    <row r="79" spans="4:5" ht="14.45"/>
    <row r="80" spans="4:5" ht="14.45"/>
    <row r="81" spans="4:6" ht="14.45"/>
    <row r="82" spans="4:6" ht="14.45"/>
    <row r="83" spans="4:6" ht="14.45"/>
    <row r="84" spans="4:6" ht="14.45"/>
    <row r="85" spans="4:6" ht="14.45"/>
    <row r="86" spans="4:6" ht="14.45"/>
    <row r="87" spans="4:6" ht="14.45"/>
    <row r="88" spans="4:6" ht="14.45"/>
    <row r="89" spans="4:6" ht="14.45">
      <c r="D89" s="5"/>
    </row>
    <row r="90" spans="4:6" ht="14.45"/>
    <row r="91" spans="4:6" ht="14.45">
      <c r="D91" s="5"/>
      <c r="E91" s="5"/>
      <c r="F91" s="5"/>
    </row>
    <row r="92" spans="4:6" ht="14.45">
      <c r="D92" s="5"/>
    </row>
    <row r="93" spans="4:6" ht="14.45">
      <c r="D93" s="5"/>
      <c r="E93" s="5"/>
      <c r="F93" s="5"/>
    </row>
    <row r="94" spans="4:6" ht="14.45"/>
    <row r="95" spans="4:6" ht="14.45">
      <c r="F95" s="5"/>
    </row>
    <row r="96" spans="4:6" ht="14.45">
      <c r="D96" s="5"/>
      <c r="E96" s="5"/>
      <c r="F96" s="5"/>
    </row>
    <row r="97" spans="4:6" ht="14.45">
      <c r="D97" s="5"/>
      <c r="E97" s="5"/>
      <c r="F97" s="5"/>
    </row>
    <row r="98" spans="4:6" ht="14.45">
      <c r="D98" s="5"/>
      <c r="E98" s="5"/>
      <c r="F98" s="5"/>
    </row>
    <row r="99" spans="4:6" ht="14.45">
      <c r="D99" s="5"/>
      <c r="F99" s="5"/>
    </row>
  </sheetData>
  <conditionalFormatting sqref="E1:E1048576">
    <cfRule type="cellIs" dxfId="11" priority="1" operator="lessThan">
      <formula>10</formula>
    </cfRule>
    <cfRule type="cellIs" dxfId="10" priority="2" operator="lessThan">
      <formula>20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69032-1C3B-4133-B3B7-93EE88519364}">
  <dimension ref="A1:J8"/>
  <sheetViews>
    <sheetView workbookViewId="0">
      <selection activeCell="C11" sqref="C11"/>
    </sheetView>
  </sheetViews>
  <sheetFormatPr defaultRowHeight="15"/>
  <cols>
    <col min="1" max="1" width="13.5703125" style="4" customWidth="1"/>
    <col min="2" max="3" width="11.85546875" style="4" customWidth="1"/>
  </cols>
  <sheetData>
    <row r="1" spans="1:10">
      <c r="A1" s="40" t="s">
        <v>63</v>
      </c>
      <c r="B1" s="3" t="s">
        <v>64</v>
      </c>
      <c r="C1" s="3" t="s">
        <v>65</v>
      </c>
      <c r="D1" s="7">
        <v>46096</v>
      </c>
      <c r="E1" s="7">
        <v>46098</v>
      </c>
      <c r="F1" s="7">
        <v>46100</v>
      </c>
      <c r="G1" s="7">
        <v>46103</v>
      </c>
      <c r="H1" s="7">
        <v>46105</v>
      </c>
      <c r="I1" s="7">
        <v>46106</v>
      </c>
      <c r="J1" s="7">
        <v>46109</v>
      </c>
    </row>
    <row r="2" spans="1:10">
      <c r="A2" s="3" t="s">
        <v>66</v>
      </c>
      <c r="B2" s="4">
        <v>72</v>
      </c>
      <c r="C2" s="4">
        <f>SUM(B2,D2:J2)</f>
        <v>72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</row>
    <row r="3" spans="1:10">
      <c r="A3" s="3" t="s">
        <v>67</v>
      </c>
      <c r="B3" s="4">
        <f>(71+B2)</f>
        <v>143</v>
      </c>
      <c r="C3" s="4">
        <f>SUM(B3,D3:J3)</f>
        <v>150</v>
      </c>
      <c r="D3" s="4">
        <v>1</v>
      </c>
      <c r="E3" s="4">
        <v>1</v>
      </c>
      <c r="F3" s="4">
        <v>1</v>
      </c>
      <c r="G3" s="4">
        <v>1</v>
      </c>
      <c r="H3" s="4">
        <v>1</v>
      </c>
      <c r="I3" s="4">
        <v>1</v>
      </c>
      <c r="J3" s="4">
        <v>1</v>
      </c>
    </row>
    <row r="5" spans="1:10">
      <c r="A5" s="2" t="s">
        <v>68</v>
      </c>
      <c r="B5" s="40" t="s">
        <v>69</v>
      </c>
      <c r="C5" s="47" t="s">
        <v>65</v>
      </c>
      <c r="D5" s="6">
        <v>46113</v>
      </c>
    </row>
    <row r="6" spans="1:10">
      <c r="A6" s="3" t="s">
        <v>66</v>
      </c>
      <c r="B6" s="4">
        <v>2</v>
      </c>
      <c r="C6" s="4">
        <f>SUM(B6,D6:J6)</f>
        <v>2</v>
      </c>
      <c r="D6">
        <v>0</v>
      </c>
    </row>
    <row r="7" spans="1:10">
      <c r="A7" s="40" t="s">
        <v>67</v>
      </c>
      <c r="B7" s="4">
        <v>3</v>
      </c>
      <c r="C7" s="4">
        <f>SUM(B7,D7:J7)</f>
        <v>4</v>
      </c>
      <c r="D7">
        <v>1</v>
      </c>
    </row>
    <row r="8" spans="1:10">
      <c r="B8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03518-E3F2-4B6F-9962-4732393D8F7B}">
  <dimension ref="A1:BA26"/>
  <sheetViews>
    <sheetView zoomScale="80" zoomScaleNormal="80" workbookViewId="0">
      <selection activeCell="E16" sqref="E16"/>
    </sheetView>
  </sheetViews>
  <sheetFormatPr defaultRowHeight="15"/>
  <cols>
    <col min="1" max="1" width="21.28515625" style="4" customWidth="1"/>
    <col min="2" max="2" width="12.7109375" style="12" customWidth="1"/>
    <col min="3" max="3" width="8.7109375" style="4"/>
  </cols>
  <sheetData>
    <row r="1" spans="1:53">
      <c r="A1" s="3" t="s">
        <v>70</v>
      </c>
      <c r="B1" s="2" t="s">
        <v>71</v>
      </c>
      <c r="C1" s="3" t="s">
        <v>72</v>
      </c>
      <c r="D1" s="6">
        <v>45968</v>
      </c>
      <c r="E1" s="6">
        <v>45970</v>
      </c>
      <c r="F1" s="6">
        <v>45975</v>
      </c>
      <c r="G1" s="6">
        <v>45976</v>
      </c>
      <c r="H1" s="6">
        <v>45983</v>
      </c>
      <c r="I1" s="6">
        <v>45985</v>
      </c>
      <c r="J1" s="6">
        <v>45987</v>
      </c>
      <c r="K1" s="6">
        <v>45990</v>
      </c>
      <c r="L1" s="6">
        <v>45992</v>
      </c>
      <c r="M1" s="6">
        <v>45996</v>
      </c>
      <c r="N1" s="6">
        <v>45997</v>
      </c>
      <c r="O1" s="6">
        <v>46000</v>
      </c>
      <c r="P1" s="6">
        <v>46001</v>
      </c>
      <c r="Q1" s="6">
        <v>46003</v>
      </c>
      <c r="R1" s="6">
        <v>46011</v>
      </c>
      <c r="S1" s="6">
        <v>46013</v>
      </c>
      <c r="T1" s="6">
        <v>46019</v>
      </c>
      <c r="U1" s="6">
        <v>45659</v>
      </c>
      <c r="V1" s="6">
        <v>45661</v>
      </c>
      <c r="W1" s="6">
        <v>45663</v>
      </c>
      <c r="X1" s="6">
        <v>45665</v>
      </c>
      <c r="Y1" s="6">
        <v>45666</v>
      </c>
      <c r="Z1" s="6">
        <v>45669</v>
      </c>
      <c r="AA1" s="6">
        <v>45671</v>
      </c>
      <c r="AB1" s="6">
        <v>46040</v>
      </c>
      <c r="AC1" s="6">
        <v>46041</v>
      </c>
      <c r="AD1" s="6">
        <v>46043</v>
      </c>
      <c r="AE1" s="6">
        <v>46045</v>
      </c>
      <c r="AF1" s="6">
        <v>46048</v>
      </c>
      <c r="AG1" s="6">
        <v>46050</v>
      </c>
      <c r="AH1" s="6">
        <v>46055</v>
      </c>
      <c r="AI1" s="6">
        <v>46058</v>
      </c>
      <c r="AJ1" s="6">
        <v>46059</v>
      </c>
      <c r="AK1" s="6">
        <v>46061</v>
      </c>
      <c r="AL1" s="6">
        <v>46063</v>
      </c>
      <c r="AM1" s="6">
        <v>46065</v>
      </c>
      <c r="AN1" s="6">
        <v>46072</v>
      </c>
      <c r="AO1" s="6">
        <v>46073</v>
      </c>
      <c r="AP1" s="6">
        <v>46078</v>
      </c>
      <c r="AQ1" s="6">
        <v>46079</v>
      </c>
      <c r="AR1" s="6">
        <v>46082</v>
      </c>
      <c r="AS1" s="6">
        <v>46085</v>
      </c>
      <c r="AT1" s="6">
        <v>46087</v>
      </c>
      <c r="AU1" s="6">
        <v>46096</v>
      </c>
      <c r="AV1" s="6">
        <v>46098</v>
      </c>
      <c r="AW1" s="6">
        <v>46100</v>
      </c>
      <c r="AX1" s="6">
        <v>46103</v>
      </c>
      <c r="AY1" s="6">
        <v>46105</v>
      </c>
      <c r="AZ1" s="6">
        <v>46106</v>
      </c>
      <c r="BA1" s="6">
        <v>46109</v>
      </c>
    </row>
    <row r="2" spans="1:53">
      <c r="A2" s="4" t="s">
        <v>35</v>
      </c>
      <c r="B2" s="12">
        <f>SUM(D2:BA2)</f>
        <v>287</v>
      </c>
      <c r="C2" s="4">
        <f>+SUM(D2:AY2)</f>
        <v>244</v>
      </c>
      <c r="D2">
        <v>9</v>
      </c>
      <c r="E2">
        <v>8</v>
      </c>
      <c r="F2">
        <v>0</v>
      </c>
      <c r="G2" s="19"/>
      <c r="H2" s="22"/>
      <c r="I2" s="22"/>
      <c r="J2">
        <v>14</v>
      </c>
      <c r="K2">
        <v>5</v>
      </c>
      <c r="L2">
        <v>12</v>
      </c>
      <c r="M2" s="19"/>
      <c r="N2" s="19"/>
      <c r="O2" s="19"/>
      <c r="P2">
        <v>2</v>
      </c>
      <c r="Q2">
        <v>9</v>
      </c>
      <c r="R2" s="19"/>
      <c r="S2">
        <v>0</v>
      </c>
      <c r="T2">
        <v>3</v>
      </c>
      <c r="U2">
        <v>6</v>
      </c>
      <c r="V2" s="19"/>
      <c r="W2">
        <v>12</v>
      </c>
      <c r="X2">
        <v>3</v>
      </c>
      <c r="Y2">
        <v>8</v>
      </c>
      <c r="Z2">
        <v>8</v>
      </c>
      <c r="AA2">
        <v>8</v>
      </c>
      <c r="AB2">
        <v>0</v>
      </c>
      <c r="AC2" s="19"/>
      <c r="AD2" s="22"/>
      <c r="AE2" s="19"/>
      <c r="AF2" s="19"/>
      <c r="AG2" s="19"/>
      <c r="AH2" s="19"/>
      <c r="AI2">
        <v>0</v>
      </c>
      <c r="AJ2">
        <v>5</v>
      </c>
      <c r="AK2">
        <v>2</v>
      </c>
      <c r="AL2">
        <v>6</v>
      </c>
      <c r="AM2">
        <v>12</v>
      </c>
      <c r="AN2">
        <v>8</v>
      </c>
      <c r="AO2">
        <v>12</v>
      </c>
      <c r="AP2">
        <v>2</v>
      </c>
      <c r="AQ2">
        <v>3</v>
      </c>
      <c r="AR2">
        <v>5</v>
      </c>
      <c r="AS2">
        <v>3</v>
      </c>
      <c r="AT2">
        <v>6</v>
      </c>
      <c r="AU2">
        <v>20</v>
      </c>
      <c r="AV2">
        <v>7</v>
      </c>
      <c r="AW2" s="19"/>
      <c r="AX2">
        <v>21</v>
      </c>
      <c r="AY2">
        <v>25</v>
      </c>
      <c r="AZ2">
        <v>28</v>
      </c>
      <c r="BA2">
        <v>15</v>
      </c>
    </row>
    <row r="3" spans="1:53">
      <c r="A3" s="4" t="s">
        <v>25</v>
      </c>
      <c r="B3" s="12">
        <f>+SUM(D3:BA3)</f>
        <v>64</v>
      </c>
      <c r="C3" s="4">
        <f>+SUM(D3:BA3)</f>
        <v>64</v>
      </c>
      <c r="D3">
        <v>4</v>
      </c>
      <c r="E3">
        <v>3</v>
      </c>
      <c r="F3">
        <v>0</v>
      </c>
      <c r="G3" s="19"/>
      <c r="H3" s="22"/>
      <c r="I3" s="22"/>
      <c r="J3">
        <v>3</v>
      </c>
      <c r="K3">
        <v>0</v>
      </c>
      <c r="L3">
        <v>2</v>
      </c>
      <c r="M3" s="19"/>
      <c r="N3" s="19"/>
      <c r="O3" s="19"/>
      <c r="P3">
        <v>1</v>
      </c>
      <c r="Q3">
        <v>4</v>
      </c>
      <c r="R3" s="19"/>
      <c r="S3">
        <v>0</v>
      </c>
      <c r="T3">
        <v>0</v>
      </c>
      <c r="U3">
        <v>4</v>
      </c>
      <c r="V3" s="19"/>
      <c r="W3">
        <v>2</v>
      </c>
      <c r="X3">
        <v>3</v>
      </c>
      <c r="Y3">
        <v>3</v>
      </c>
      <c r="Z3">
        <v>3</v>
      </c>
      <c r="AA3">
        <v>4</v>
      </c>
      <c r="AB3">
        <v>0</v>
      </c>
      <c r="AC3" s="19"/>
      <c r="AD3" s="22"/>
      <c r="AE3" s="19"/>
      <c r="AF3" s="19"/>
      <c r="AG3" s="19"/>
      <c r="AH3" s="19"/>
      <c r="AI3">
        <v>0</v>
      </c>
      <c r="AJ3">
        <v>1</v>
      </c>
      <c r="AK3">
        <v>1</v>
      </c>
      <c r="AL3">
        <v>1</v>
      </c>
      <c r="AM3">
        <v>4</v>
      </c>
      <c r="AN3">
        <v>0</v>
      </c>
      <c r="AO3">
        <v>2</v>
      </c>
      <c r="AP3">
        <v>0</v>
      </c>
      <c r="AQ3">
        <v>0</v>
      </c>
      <c r="AR3">
        <v>0</v>
      </c>
      <c r="AS3">
        <v>0</v>
      </c>
      <c r="AT3">
        <v>0</v>
      </c>
      <c r="AU3">
        <v>2</v>
      </c>
      <c r="AV3">
        <v>1</v>
      </c>
      <c r="AW3" s="19"/>
      <c r="AX3">
        <v>6</v>
      </c>
      <c r="AY3">
        <v>3</v>
      </c>
      <c r="AZ3">
        <v>4</v>
      </c>
      <c r="BA3">
        <v>3</v>
      </c>
    </row>
    <row r="4" spans="1:53">
      <c r="A4" s="4" t="s">
        <v>27</v>
      </c>
      <c r="B4" s="12">
        <f>+SUM(D4:BA4)</f>
        <v>43</v>
      </c>
      <c r="C4" s="4">
        <f>+SUM(D4:BA4)</f>
        <v>43</v>
      </c>
      <c r="D4">
        <v>1</v>
      </c>
      <c r="E4">
        <v>1</v>
      </c>
      <c r="F4">
        <v>1</v>
      </c>
      <c r="G4" s="19"/>
      <c r="H4" s="22"/>
      <c r="I4" s="22"/>
      <c r="J4">
        <v>4</v>
      </c>
      <c r="K4">
        <v>2</v>
      </c>
      <c r="L4">
        <v>2</v>
      </c>
      <c r="M4" s="19"/>
      <c r="N4" s="19"/>
      <c r="O4" s="19"/>
      <c r="P4">
        <v>1</v>
      </c>
      <c r="Q4">
        <v>2</v>
      </c>
      <c r="R4" s="19"/>
      <c r="S4">
        <v>0</v>
      </c>
      <c r="T4">
        <v>2</v>
      </c>
      <c r="U4">
        <v>0</v>
      </c>
      <c r="V4" s="19"/>
      <c r="W4">
        <v>1</v>
      </c>
      <c r="X4">
        <v>1</v>
      </c>
      <c r="Y4">
        <v>2</v>
      </c>
      <c r="Z4">
        <v>1</v>
      </c>
      <c r="AA4">
        <v>0</v>
      </c>
      <c r="AB4">
        <v>0</v>
      </c>
      <c r="AC4" s="19"/>
      <c r="AD4" s="22"/>
      <c r="AE4" s="19"/>
      <c r="AF4" s="19"/>
      <c r="AG4" s="19"/>
      <c r="AH4" s="19"/>
      <c r="AI4">
        <v>0</v>
      </c>
      <c r="AJ4">
        <v>2</v>
      </c>
      <c r="AK4">
        <v>0</v>
      </c>
      <c r="AL4">
        <v>1</v>
      </c>
      <c r="AM4">
        <v>1</v>
      </c>
      <c r="AN4">
        <v>2</v>
      </c>
      <c r="AO4">
        <v>0</v>
      </c>
      <c r="AP4">
        <v>1</v>
      </c>
      <c r="AQ4">
        <v>2</v>
      </c>
      <c r="AR4">
        <v>1</v>
      </c>
      <c r="AS4">
        <v>0</v>
      </c>
      <c r="AT4">
        <v>0</v>
      </c>
      <c r="AU4">
        <v>1</v>
      </c>
      <c r="AV4">
        <v>0</v>
      </c>
      <c r="AW4" s="19"/>
      <c r="AX4">
        <v>4</v>
      </c>
      <c r="AY4">
        <v>3</v>
      </c>
      <c r="AZ4">
        <v>2</v>
      </c>
      <c r="BA4">
        <v>2</v>
      </c>
    </row>
    <row r="5" spans="1:53">
      <c r="A5" s="4" t="s">
        <v>12</v>
      </c>
      <c r="B5" s="12">
        <f>+SUM(D5:BA5)</f>
        <v>30</v>
      </c>
      <c r="C5" s="4">
        <f>+SUM(D5:BA5)</f>
        <v>30</v>
      </c>
      <c r="D5">
        <v>0</v>
      </c>
      <c r="E5">
        <v>0</v>
      </c>
      <c r="F5">
        <v>1</v>
      </c>
      <c r="G5" s="19"/>
      <c r="H5" s="22"/>
      <c r="I5" s="22"/>
      <c r="J5">
        <v>1</v>
      </c>
      <c r="K5">
        <v>0</v>
      </c>
      <c r="L5">
        <v>2</v>
      </c>
      <c r="M5" s="19"/>
      <c r="N5" s="19"/>
      <c r="O5" s="19"/>
      <c r="P5">
        <v>2</v>
      </c>
      <c r="Q5">
        <v>0</v>
      </c>
      <c r="R5" s="19"/>
      <c r="S5">
        <v>2</v>
      </c>
      <c r="T5">
        <v>1</v>
      </c>
      <c r="U5">
        <v>0</v>
      </c>
      <c r="V5" s="19"/>
      <c r="W5">
        <v>0</v>
      </c>
      <c r="X5">
        <v>0</v>
      </c>
      <c r="Y5">
        <v>1</v>
      </c>
      <c r="Z5">
        <v>1</v>
      </c>
      <c r="AA5">
        <v>0</v>
      </c>
      <c r="AB5">
        <v>0</v>
      </c>
      <c r="AC5" s="19"/>
      <c r="AD5" s="22"/>
      <c r="AE5" s="19"/>
      <c r="AF5" s="19"/>
      <c r="AG5" s="19"/>
      <c r="AH5" s="19"/>
      <c r="AI5">
        <v>0</v>
      </c>
      <c r="AJ5">
        <v>1</v>
      </c>
      <c r="AK5">
        <v>0</v>
      </c>
      <c r="AL5">
        <v>0</v>
      </c>
      <c r="AM5">
        <v>1</v>
      </c>
      <c r="AN5">
        <v>0</v>
      </c>
      <c r="AO5">
        <v>1</v>
      </c>
      <c r="AP5">
        <v>1</v>
      </c>
      <c r="AQ5">
        <v>0</v>
      </c>
      <c r="AR5">
        <v>1</v>
      </c>
      <c r="AS5">
        <v>3</v>
      </c>
      <c r="AT5">
        <v>0</v>
      </c>
      <c r="AU5">
        <v>1</v>
      </c>
      <c r="AV5">
        <v>1</v>
      </c>
      <c r="AW5" s="19"/>
      <c r="AX5">
        <v>3</v>
      </c>
      <c r="AY5">
        <v>3</v>
      </c>
      <c r="AZ5">
        <v>2</v>
      </c>
      <c r="BA5">
        <v>1</v>
      </c>
    </row>
    <row r="6" spans="1:53">
      <c r="A6" s="4" t="s">
        <v>21</v>
      </c>
      <c r="B6" s="12">
        <f>+SUM(D6:BA6)</f>
        <v>1</v>
      </c>
      <c r="C6" s="4">
        <f ca="1">+SUM(B6:D6)</f>
        <v>0</v>
      </c>
      <c r="D6">
        <v>0</v>
      </c>
      <c r="E6">
        <v>0</v>
      </c>
      <c r="F6">
        <v>0</v>
      </c>
      <c r="G6" s="19"/>
      <c r="H6" s="22"/>
      <c r="I6" s="22"/>
      <c r="J6">
        <v>0</v>
      </c>
      <c r="K6">
        <v>0</v>
      </c>
      <c r="L6">
        <v>0</v>
      </c>
      <c r="M6" s="19"/>
      <c r="N6" s="19"/>
      <c r="O6" s="19"/>
      <c r="P6">
        <v>0</v>
      </c>
      <c r="Q6">
        <v>0</v>
      </c>
      <c r="R6" s="19"/>
      <c r="S6">
        <v>0</v>
      </c>
      <c r="T6">
        <v>0</v>
      </c>
      <c r="U6">
        <v>0</v>
      </c>
      <c r="V6" s="19"/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 s="19"/>
      <c r="AD6" s="22"/>
      <c r="AE6" s="19"/>
      <c r="AF6" s="19"/>
      <c r="AG6" s="19"/>
      <c r="AH6" s="19"/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 s="19"/>
      <c r="AX6">
        <v>0</v>
      </c>
      <c r="AY6">
        <v>1</v>
      </c>
      <c r="AZ6">
        <v>0</v>
      </c>
      <c r="BA6">
        <v>0</v>
      </c>
    </row>
    <row r="7" spans="1:53">
      <c r="A7" s="4" t="s">
        <v>73</v>
      </c>
      <c r="B7" s="12">
        <f>+SUM(D7:BA7)</f>
        <v>89</v>
      </c>
      <c r="C7" s="4">
        <f>+SUM(D7:BA7)</f>
        <v>89</v>
      </c>
      <c r="D7">
        <v>2</v>
      </c>
      <c r="E7">
        <v>2</v>
      </c>
      <c r="F7">
        <v>0</v>
      </c>
      <c r="G7" s="19"/>
      <c r="H7" s="22"/>
      <c r="I7" s="22"/>
      <c r="J7">
        <v>4</v>
      </c>
      <c r="K7">
        <v>1</v>
      </c>
      <c r="L7">
        <v>4</v>
      </c>
      <c r="M7" s="19"/>
      <c r="N7" s="19"/>
      <c r="O7" s="19"/>
      <c r="P7">
        <v>1</v>
      </c>
      <c r="Q7">
        <v>3</v>
      </c>
      <c r="R7" s="19"/>
      <c r="S7">
        <v>0</v>
      </c>
      <c r="T7">
        <v>1</v>
      </c>
      <c r="U7">
        <v>2</v>
      </c>
      <c r="V7" s="19"/>
      <c r="W7">
        <v>4</v>
      </c>
      <c r="X7">
        <v>1</v>
      </c>
      <c r="Y7">
        <v>2</v>
      </c>
      <c r="Z7">
        <v>1</v>
      </c>
      <c r="AA7">
        <v>2</v>
      </c>
      <c r="AB7">
        <v>0</v>
      </c>
      <c r="AC7" s="19"/>
      <c r="AD7" s="22"/>
      <c r="AE7" s="19"/>
      <c r="AF7" s="19"/>
      <c r="AG7" s="19"/>
      <c r="AH7" s="19"/>
      <c r="AI7">
        <v>0</v>
      </c>
      <c r="AJ7">
        <v>1</v>
      </c>
      <c r="AK7">
        <v>0</v>
      </c>
      <c r="AL7">
        <v>2</v>
      </c>
      <c r="AM7">
        <v>3</v>
      </c>
      <c r="AN7">
        <v>3</v>
      </c>
      <c r="AO7">
        <v>4</v>
      </c>
      <c r="AP7">
        <v>1</v>
      </c>
      <c r="AQ7">
        <v>1</v>
      </c>
      <c r="AR7">
        <v>1</v>
      </c>
      <c r="AS7">
        <v>1</v>
      </c>
      <c r="AT7">
        <v>1</v>
      </c>
      <c r="AU7">
        <v>6</v>
      </c>
      <c r="AV7">
        <v>3</v>
      </c>
      <c r="AW7" s="19"/>
      <c r="AX7">
        <v>8</v>
      </c>
      <c r="AY7">
        <v>8</v>
      </c>
      <c r="AZ7">
        <v>11</v>
      </c>
      <c r="BA7">
        <v>5</v>
      </c>
    </row>
    <row r="8" spans="1:53">
      <c r="A8" s="4" t="s">
        <v>38</v>
      </c>
      <c r="B8" s="12">
        <f>+SUM(D8:BA8)</f>
        <v>68</v>
      </c>
      <c r="C8" s="4">
        <f>+SUM(D8:BA8)</f>
        <v>68</v>
      </c>
      <c r="D8">
        <v>2</v>
      </c>
      <c r="E8">
        <v>2</v>
      </c>
      <c r="F8">
        <v>0</v>
      </c>
      <c r="G8" s="19"/>
      <c r="H8" s="22"/>
      <c r="I8" s="22"/>
      <c r="J8">
        <v>3</v>
      </c>
      <c r="K8">
        <v>1</v>
      </c>
      <c r="L8">
        <v>4</v>
      </c>
      <c r="M8" s="19"/>
      <c r="N8" s="19"/>
      <c r="O8" s="19"/>
      <c r="P8">
        <v>0</v>
      </c>
      <c r="Q8">
        <v>3</v>
      </c>
      <c r="R8" s="19"/>
      <c r="S8">
        <v>0</v>
      </c>
      <c r="T8">
        <v>1</v>
      </c>
      <c r="U8">
        <v>2</v>
      </c>
      <c r="V8" s="19"/>
      <c r="W8">
        <v>4</v>
      </c>
      <c r="X8">
        <v>1</v>
      </c>
      <c r="Y8">
        <v>2</v>
      </c>
      <c r="Z8">
        <v>0</v>
      </c>
      <c r="AA8">
        <v>2</v>
      </c>
      <c r="AB8">
        <v>0</v>
      </c>
      <c r="AC8" s="19"/>
      <c r="AD8" s="22"/>
      <c r="AE8" s="19"/>
      <c r="AF8" s="19"/>
      <c r="AG8" s="19"/>
      <c r="AH8" s="19"/>
      <c r="AI8">
        <v>0</v>
      </c>
      <c r="AJ8">
        <v>1</v>
      </c>
      <c r="AK8">
        <v>0</v>
      </c>
      <c r="AL8">
        <v>2</v>
      </c>
      <c r="AM8">
        <v>3</v>
      </c>
      <c r="AN8">
        <v>2</v>
      </c>
      <c r="AO8">
        <v>4</v>
      </c>
      <c r="AP8">
        <v>0</v>
      </c>
      <c r="AQ8">
        <v>1</v>
      </c>
      <c r="AR8">
        <v>1</v>
      </c>
      <c r="AS8">
        <v>1</v>
      </c>
      <c r="AT8">
        <v>1</v>
      </c>
      <c r="AU8">
        <v>4</v>
      </c>
      <c r="AV8">
        <v>1</v>
      </c>
      <c r="AW8" s="19"/>
      <c r="AX8">
        <v>5</v>
      </c>
      <c r="AY8">
        <v>5</v>
      </c>
      <c r="AZ8">
        <v>6</v>
      </c>
      <c r="BA8">
        <v>4</v>
      </c>
    </row>
    <row r="9" spans="1:53">
      <c r="A9" s="4" t="s">
        <v>74</v>
      </c>
      <c r="B9" s="12">
        <f>+SUM(D9:BA9)</f>
        <v>0</v>
      </c>
      <c r="C9" s="4">
        <f ca="1">+SUM(B9:BA9)</f>
        <v>0</v>
      </c>
      <c r="D9">
        <v>0</v>
      </c>
      <c r="E9">
        <v>0</v>
      </c>
      <c r="F9">
        <v>0</v>
      </c>
      <c r="G9" s="19"/>
      <c r="H9" s="22"/>
      <c r="I9" s="22"/>
      <c r="J9">
        <v>0</v>
      </c>
      <c r="K9">
        <v>0</v>
      </c>
      <c r="L9">
        <v>0</v>
      </c>
      <c r="M9" s="19"/>
      <c r="N9" s="19"/>
      <c r="O9" s="19"/>
      <c r="P9">
        <v>0</v>
      </c>
      <c r="Q9">
        <v>0</v>
      </c>
      <c r="R9" s="19"/>
      <c r="S9">
        <v>0</v>
      </c>
      <c r="T9">
        <v>0</v>
      </c>
      <c r="U9">
        <v>0</v>
      </c>
      <c r="V9" s="19"/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 s="19"/>
      <c r="AD9" s="22"/>
      <c r="AE9" s="19"/>
      <c r="AF9" s="19"/>
      <c r="AG9" s="19"/>
      <c r="AH9" s="19"/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 s="19"/>
      <c r="AX9">
        <v>0</v>
      </c>
      <c r="AY9">
        <v>0</v>
      </c>
      <c r="AZ9">
        <v>0</v>
      </c>
      <c r="BA9">
        <v>0</v>
      </c>
    </row>
    <row r="10" spans="1:53">
      <c r="A10" s="4" t="s">
        <v>75</v>
      </c>
      <c r="B10" s="48">
        <f>+SUM(D10:BA10)</f>
        <v>636.42666666666673</v>
      </c>
      <c r="C10" s="4">
        <f>+SUM(D10:BA10)</f>
        <v>636.42666666666673</v>
      </c>
      <c r="D10">
        <f>22+(8/60)</f>
        <v>22.133333333333333</v>
      </c>
      <c r="E10">
        <f>22+(23/60)</f>
        <v>22.383333333333333</v>
      </c>
      <c r="F10" s="41" t="s">
        <v>76</v>
      </c>
      <c r="G10" s="19"/>
      <c r="H10" s="22"/>
      <c r="I10" s="22"/>
      <c r="J10" s="41">
        <v>23.29</v>
      </c>
      <c r="K10" s="41" t="s">
        <v>77</v>
      </c>
      <c r="L10">
        <v>19.22</v>
      </c>
      <c r="M10" s="19"/>
      <c r="N10" s="19"/>
      <c r="O10" s="19"/>
      <c r="P10">
        <v>12.17</v>
      </c>
      <c r="Q10">
        <v>22.58</v>
      </c>
      <c r="R10" s="19"/>
      <c r="S10">
        <v>11.55</v>
      </c>
      <c r="T10">
        <v>16.05</v>
      </c>
      <c r="U10">
        <v>26.24</v>
      </c>
      <c r="V10" s="19"/>
      <c r="W10">
        <v>19.149999999999999</v>
      </c>
      <c r="X10">
        <v>21.15</v>
      </c>
      <c r="Y10">
        <v>22.47</v>
      </c>
      <c r="Z10">
        <v>20.16</v>
      </c>
      <c r="AA10">
        <v>23.53</v>
      </c>
      <c r="AB10">
        <v>10.35</v>
      </c>
      <c r="AC10" s="19"/>
      <c r="AD10" s="22"/>
      <c r="AE10" s="19"/>
      <c r="AF10" s="19"/>
      <c r="AG10" s="19"/>
      <c r="AH10" s="19"/>
      <c r="AI10">
        <v>2.2999999999999998</v>
      </c>
      <c r="AJ10">
        <v>19.09</v>
      </c>
      <c r="AK10">
        <v>6.54</v>
      </c>
      <c r="AL10">
        <v>10.1</v>
      </c>
      <c r="AM10">
        <v>20.059999999999999</v>
      </c>
      <c r="AN10">
        <v>9.1199999999999992</v>
      </c>
      <c r="AO10">
        <v>13.41</v>
      </c>
      <c r="AP10">
        <v>11.51</v>
      </c>
      <c r="AQ10">
        <v>18.36</v>
      </c>
      <c r="AR10">
        <v>16.07</v>
      </c>
      <c r="AS10">
        <v>13.29</v>
      </c>
      <c r="AT10">
        <v>17.21</v>
      </c>
      <c r="AU10">
        <v>41.26</v>
      </c>
      <c r="AV10">
        <v>18.25</v>
      </c>
      <c r="AW10" s="19"/>
      <c r="AX10">
        <v>38.21</v>
      </c>
      <c r="AY10">
        <v>35.53</v>
      </c>
      <c r="AZ10">
        <v>27.29</v>
      </c>
      <c r="BA10">
        <v>26.4</v>
      </c>
    </row>
    <row r="11" spans="1:53">
      <c r="A11" s="4" t="s">
        <v>78</v>
      </c>
      <c r="B11" s="12">
        <f>+SUM(D11:BA11)</f>
        <v>21</v>
      </c>
      <c r="C11" s="4">
        <f>SUM(D11:BA11)</f>
        <v>21</v>
      </c>
      <c r="D11">
        <v>1</v>
      </c>
      <c r="E11">
        <v>1</v>
      </c>
      <c r="F11">
        <v>0</v>
      </c>
      <c r="G11" s="19"/>
      <c r="H11" s="22"/>
      <c r="I11" s="22"/>
      <c r="J11">
        <v>1</v>
      </c>
      <c r="K11">
        <v>1</v>
      </c>
      <c r="L11">
        <v>0</v>
      </c>
      <c r="M11" s="19"/>
      <c r="N11" s="19"/>
      <c r="O11" s="19"/>
      <c r="P11">
        <v>0</v>
      </c>
      <c r="Q11">
        <v>0</v>
      </c>
      <c r="R11" s="19"/>
      <c r="S11">
        <v>0</v>
      </c>
      <c r="T11">
        <v>0</v>
      </c>
      <c r="U11">
        <v>0</v>
      </c>
      <c r="V11" s="19"/>
      <c r="W11">
        <v>0</v>
      </c>
      <c r="X11">
        <v>0</v>
      </c>
      <c r="Y11">
        <v>1</v>
      </c>
      <c r="Z11">
        <v>3</v>
      </c>
      <c r="AA11">
        <v>2</v>
      </c>
      <c r="AB11">
        <v>0</v>
      </c>
      <c r="AC11" s="19"/>
      <c r="AD11" s="22"/>
      <c r="AE11" s="19"/>
      <c r="AF11" s="19"/>
      <c r="AG11" s="19"/>
      <c r="AH11" s="19"/>
      <c r="AI11">
        <v>0</v>
      </c>
      <c r="AJ11">
        <v>1</v>
      </c>
      <c r="AK11">
        <v>1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2</v>
      </c>
      <c r="AU11">
        <v>3</v>
      </c>
      <c r="AV11">
        <v>0</v>
      </c>
      <c r="AW11" s="19"/>
      <c r="AX11">
        <v>0</v>
      </c>
      <c r="AY11">
        <v>2</v>
      </c>
      <c r="AZ11">
        <v>0</v>
      </c>
      <c r="BA11">
        <v>1</v>
      </c>
    </row>
    <row r="12" spans="1:53">
      <c r="A12" s="4" t="s">
        <v>79</v>
      </c>
      <c r="B12" s="12">
        <f>+SUM(D12:BA12)</f>
        <v>35</v>
      </c>
      <c r="C12" s="4">
        <f ca="1">SUM(B12:BA12)</f>
        <v>0</v>
      </c>
      <c r="D12">
        <v>1</v>
      </c>
      <c r="E12">
        <v>1</v>
      </c>
      <c r="F12">
        <v>1</v>
      </c>
      <c r="G12" s="19"/>
      <c r="H12" s="22"/>
      <c r="I12" s="22"/>
      <c r="J12">
        <v>1</v>
      </c>
      <c r="K12">
        <v>1</v>
      </c>
      <c r="L12">
        <v>1</v>
      </c>
      <c r="M12" s="19"/>
      <c r="N12" s="19"/>
      <c r="O12" s="19"/>
      <c r="P12">
        <v>1</v>
      </c>
      <c r="Q12">
        <v>1</v>
      </c>
      <c r="R12" s="19"/>
      <c r="S12">
        <v>1</v>
      </c>
      <c r="T12">
        <v>1</v>
      </c>
      <c r="U12">
        <v>1</v>
      </c>
      <c r="V12" s="19"/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 s="19"/>
      <c r="AD12" s="22"/>
      <c r="AE12" s="19"/>
      <c r="AF12" s="19"/>
      <c r="AG12" s="19"/>
      <c r="AH12" s="19"/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 s="19"/>
      <c r="AX12">
        <v>1</v>
      </c>
      <c r="AY12">
        <v>1</v>
      </c>
      <c r="AZ12">
        <v>1</v>
      </c>
      <c r="BA12">
        <v>1</v>
      </c>
    </row>
    <row r="15" spans="1:53">
      <c r="A15" s="3" t="s">
        <v>68</v>
      </c>
      <c r="B15" s="2" t="s">
        <v>71</v>
      </c>
      <c r="C15" s="3" t="s">
        <v>72</v>
      </c>
      <c r="D15" s="6">
        <v>46113</v>
      </c>
    </row>
    <row r="16" spans="1:53">
      <c r="A16" s="4" t="s">
        <v>35</v>
      </c>
      <c r="B16" s="12">
        <f>SUM(D16:BA16)</f>
        <v>5</v>
      </c>
      <c r="C16" s="4">
        <v>5</v>
      </c>
      <c r="D16">
        <v>5</v>
      </c>
    </row>
    <row r="17" spans="1:4">
      <c r="A17" s="4" t="s">
        <v>25</v>
      </c>
      <c r="B17" s="12">
        <f t="shared" ref="B17:B26" si="0">SUM(D17:BA17)</f>
        <v>3</v>
      </c>
      <c r="C17" s="4">
        <v>3</v>
      </c>
      <c r="D17">
        <v>3</v>
      </c>
    </row>
    <row r="18" spans="1:4">
      <c r="A18" s="4" t="s">
        <v>27</v>
      </c>
      <c r="B18" s="12">
        <f t="shared" si="0"/>
        <v>3</v>
      </c>
      <c r="C18" s="4">
        <v>3</v>
      </c>
      <c r="D18">
        <v>3</v>
      </c>
    </row>
    <row r="19" spans="1:4">
      <c r="A19" s="4" t="s">
        <v>12</v>
      </c>
      <c r="B19" s="12">
        <f t="shared" si="0"/>
        <v>0</v>
      </c>
      <c r="C19" s="4">
        <v>0</v>
      </c>
      <c r="D19">
        <v>0</v>
      </c>
    </row>
    <row r="20" spans="1:4">
      <c r="A20" s="4" t="s">
        <v>21</v>
      </c>
      <c r="B20" s="12">
        <f t="shared" si="0"/>
        <v>0</v>
      </c>
      <c r="C20" s="4">
        <v>0</v>
      </c>
      <c r="D20">
        <v>0</v>
      </c>
    </row>
    <row r="21" spans="1:4">
      <c r="A21" s="4" t="s">
        <v>73</v>
      </c>
      <c r="B21" s="12">
        <f t="shared" si="0"/>
        <v>0</v>
      </c>
      <c r="C21" s="4">
        <v>0</v>
      </c>
      <c r="D21">
        <v>0</v>
      </c>
    </row>
    <row r="22" spans="1:4">
      <c r="A22" s="4" t="s">
        <v>38</v>
      </c>
      <c r="B22" s="12">
        <f t="shared" si="0"/>
        <v>0</v>
      </c>
      <c r="C22" s="4">
        <v>0</v>
      </c>
      <c r="D22">
        <v>0</v>
      </c>
    </row>
    <row r="23" spans="1:4">
      <c r="A23" s="4" t="s">
        <v>74</v>
      </c>
      <c r="B23" s="12">
        <f t="shared" si="0"/>
        <v>0</v>
      </c>
      <c r="C23" s="4">
        <v>0</v>
      </c>
      <c r="D23">
        <v>0</v>
      </c>
    </row>
    <row r="24" spans="1:4">
      <c r="A24" s="4" t="s">
        <v>75</v>
      </c>
      <c r="B24" s="12">
        <f t="shared" si="0"/>
        <v>25.36</v>
      </c>
      <c r="C24" s="4">
        <v>25.36</v>
      </c>
      <c r="D24">
        <v>25.36</v>
      </c>
    </row>
    <row r="25" spans="1:4">
      <c r="A25" s="4" t="s">
        <v>78</v>
      </c>
      <c r="B25" s="12">
        <f t="shared" si="0"/>
        <v>2</v>
      </c>
      <c r="C25" s="4">
        <v>2</v>
      </c>
      <c r="D25">
        <v>2</v>
      </c>
    </row>
    <row r="26" spans="1:4">
      <c r="A26" s="4" t="s">
        <v>79</v>
      </c>
      <c r="B26" s="12">
        <f t="shared" si="0"/>
        <v>1</v>
      </c>
      <c r="C26" s="4">
        <v>1</v>
      </c>
      <c r="D2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14904-4AE9-4550-B22F-13881498A179}">
  <dimension ref="A1:U12"/>
  <sheetViews>
    <sheetView zoomScale="50" zoomScaleNormal="50" workbookViewId="0">
      <selection activeCell="U13" sqref="U13"/>
    </sheetView>
  </sheetViews>
  <sheetFormatPr defaultRowHeight="14.45"/>
  <cols>
    <col min="1" max="1" width="21.28515625" style="4" customWidth="1"/>
    <col min="2" max="4" width="12.7109375" style="4" customWidth="1"/>
    <col min="5" max="5" width="8.7109375" style="4"/>
    <col min="6" max="6" width="11" style="4" customWidth="1"/>
    <col min="7" max="9" width="8.7109375" style="4"/>
  </cols>
  <sheetData>
    <row r="1" spans="1:21">
      <c r="A1" s="3" t="s">
        <v>80</v>
      </c>
      <c r="B1" s="3" t="s">
        <v>71</v>
      </c>
      <c r="C1" s="3" t="s">
        <v>81</v>
      </c>
      <c r="D1" s="3" t="s">
        <v>11</v>
      </c>
      <c r="E1" s="3" t="s">
        <v>72</v>
      </c>
      <c r="F1" s="7">
        <v>45968</v>
      </c>
      <c r="G1" s="7">
        <v>45970</v>
      </c>
      <c r="H1" s="7">
        <v>45975</v>
      </c>
      <c r="I1" s="7">
        <v>45976</v>
      </c>
      <c r="J1" s="6">
        <v>45983</v>
      </c>
      <c r="K1" s="6">
        <v>45985</v>
      </c>
      <c r="L1" s="6">
        <v>45987</v>
      </c>
      <c r="M1" s="6">
        <v>45990</v>
      </c>
      <c r="N1" s="6">
        <v>45992</v>
      </c>
      <c r="O1" s="6">
        <v>45996</v>
      </c>
      <c r="P1" s="6">
        <v>45997</v>
      </c>
      <c r="Q1" s="6">
        <v>46000</v>
      </c>
      <c r="R1" s="6">
        <v>46001</v>
      </c>
      <c r="S1" s="6">
        <v>46003</v>
      </c>
      <c r="T1" s="6">
        <v>46011</v>
      </c>
      <c r="U1" s="6">
        <v>46013</v>
      </c>
    </row>
    <row r="2" spans="1:21">
      <c r="A2" s="4" t="s">
        <v>35</v>
      </c>
      <c r="B2" s="4">
        <f>C2+SUM(F2:AI2)</f>
        <v>1099</v>
      </c>
      <c r="C2" s="4">
        <v>944</v>
      </c>
      <c r="D2" s="4">
        <f>+SUM(F2:AI2)</f>
        <v>155</v>
      </c>
      <c r="E2" s="4">
        <f>+SUM(F2:AI2)</f>
        <v>155</v>
      </c>
      <c r="F2" s="4">
        <v>8</v>
      </c>
      <c r="G2" s="4">
        <v>8</v>
      </c>
      <c r="H2" s="4">
        <v>12</v>
      </c>
      <c r="I2" s="4">
        <v>11</v>
      </c>
      <c r="J2" s="4">
        <v>16</v>
      </c>
      <c r="K2" s="4">
        <v>24</v>
      </c>
      <c r="L2" s="4">
        <v>8</v>
      </c>
      <c r="M2">
        <v>4</v>
      </c>
      <c r="N2">
        <v>11</v>
      </c>
      <c r="O2">
        <v>4</v>
      </c>
      <c r="P2">
        <v>10</v>
      </c>
      <c r="Q2">
        <v>4</v>
      </c>
      <c r="R2">
        <v>13</v>
      </c>
      <c r="S2">
        <v>9</v>
      </c>
      <c r="T2">
        <v>13</v>
      </c>
      <c r="U2">
        <v>0</v>
      </c>
    </row>
    <row r="3" spans="1:21">
      <c r="A3" s="4" t="s">
        <v>25</v>
      </c>
      <c r="B3" s="4">
        <f>C3+SUM(F3:AI3)</f>
        <v>332</v>
      </c>
      <c r="C3" s="4">
        <v>284</v>
      </c>
      <c r="D3" s="4">
        <f t="shared" ref="D3:D12" si="0">SUM(F3:AI3)</f>
        <v>48</v>
      </c>
      <c r="E3" s="4">
        <f t="shared" ref="E3:E9" si="1">SUM(F3:AI3)</f>
        <v>48</v>
      </c>
      <c r="F3" s="4">
        <v>2</v>
      </c>
      <c r="G3" s="4">
        <v>3</v>
      </c>
      <c r="H3" s="4">
        <v>5</v>
      </c>
      <c r="I3" s="4">
        <v>3</v>
      </c>
      <c r="J3" s="4">
        <v>6</v>
      </c>
      <c r="K3" s="4">
        <v>2</v>
      </c>
      <c r="L3" s="4">
        <v>2</v>
      </c>
      <c r="M3">
        <v>1</v>
      </c>
      <c r="N3">
        <v>1</v>
      </c>
      <c r="O3">
        <v>3</v>
      </c>
      <c r="P3">
        <v>1</v>
      </c>
      <c r="Q3">
        <v>5</v>
      </c>
      <c r="R3">
        <v>6</v>
      </c>
      <c r="S3">
        <v>2</v>
      </c>
      <c r="T3">
        <v>2</v>
      </c>
      <c r="U3">
        <v>4</v>
      </c>
    </row>
    <row r="4" spans="1:21">
      <c r="A4" s="4" t="s">
        <v>27</v>
      </c>
      <c r="B4" s="4">
        <f t="shared" ref="B4:B12" si="2">C4+SUM(F4:AI4)</f>
        <v>841</v>
      </c>
      <c r="C4" s="4">
        <v>737</v>
      </c>
      <c r="D4" s="4">
        <f t="shared" si="0"/>
        <v>104</v>
      </c>
      <c r="E4" s="4">
        <f t="shared" si="1"/>
        <v>104</v>
      </c>
      <c r="F4" s="4">
        <v>4</v>
      </c>
      <c r="G4" s="4">
        <v>6</v>
      </c>
      <c r="H4" s="4">
        <v>4</v>
      </c>
      <c r="I4" s="4">
        <v>10</v>
      </c>
      <c r="J4" s="4">
        <v>8</v>
      </c>
      <c r="K4" s="4">
        <v>6</v>
      </c>
      <c r="L4" s="4">
        <v>5</v>
      </c>
      <c r="M4">
        <v>5</v>
      </c>
      <c r="N4">
        <v>8</v>
      </c>
      <c r="O4">
        <v>8</v>
      </c>
      <c r="P4">
        <v>10</v>
      </c>
      <c r="Q4">
        <v>3</v>
      </c>
      <c r="R4">
        <v>6</v>
      </c>
      <c r="S4">
        <v>10</v>
      </c>
      <c r="T4">
        <v>5</v>
      </c>
      <c r="U4">
        <v>6</v>
      </c>
    </row>
    <row r="5" spans="1:21">
      <c r="A5" s="4" t="s">
        <v>12</v>
      </c>
      <c r="B5" s="4">
        <f t="shared" si="2"/>
        <v>126</v>
      </c>
      <c r="C5" s="4">
        <v>102</v>
      </c>
      <c r="D5" s="4">
        <f t="shared" si="0"/>
        <v>24</v>
      </c>
      <c r="E5" s="4">
        <f t="shared" si="1"/>
        <v>24</v>
      </c>
      <c r="F5" s="4">
        <v>1</v>
      </c>
      <c r="G5" s="4">
        <v>1</v>
      </c>
      <c r="H5" s="4">
        <v>1</v>
      </c>
      <c r="I5" s="4">
        <v>4</v>
      </c>
      <c r="J5" s="4">
        <v>3</v>
      </c>
      <c r="K5" s="4">
        <v>1</v>
      </c>
      <c r="L5" s="4">
        <v>2</v>
      </c>
      <c r="M5">
        <v>2</v>
      </c>
      <c r="N5">
        <v>0</v>
      </c>
      <c r="O5">
        <v>1</v>
      </c>
      <c r="P5">
        <v>0</v>
      </c>
      <c r="Q5">
        <v>1</v>
      </c>
      <c r="R5">
        <v>2</v>
      </c>
      <c r="S5">
        <v>2</v>
      </c>
      <c r="T5">
        <v>1</v>
      </c>
      <c r="U5">
        <v>2</v>
      </c>
    </row>
    <row r="6" spans="1:21">
      <c r="A6" s="4" t="s">
        <v>21</v>
      </c>
      <c r="B6" s="4">
        <f t="shared" si="2"/>
        <v>26</v>
      </c>
      <c r="C6" s="4">
        <v>19</v>
      </c>
      <c r="D6" s="4">
        <f t="shared" si="0"/>
        <v>7</v>
      </c>
      <c r="E6" s="4">
        <f t="shared" si="1"/>
        <v>7</v>
      </c>
      <c r="F6" s="4">
        <v>0</v>
      </c>
      <c r="G6" s="4">
        <v>0</v>
      </c>
      <c r="H6" s="4">
        <v>0</v>
      </c>
      <c r="I6" s="4">
        <v>0</v>
      </c>
      <c r="J6" s="4">
        <v>2</v>
      </c>
      <c r="K6" s="4">
        <v>2</v>
      </c>
      <c r="L6" s="4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1</v>
      </c>
    </row>
    <row r="7" spans="1:21">
      <c r="A7" s="4" t="s">
        <v>73</v>
      </c>
      <c r="B7" s="4">
        <f t="shared" si="2"/>
        <v>413</v>
      </c>
      <c r="C7" s="4">
        <v>358</v>
      </c>
      <c r="D7" s="4">
        <f t="shared" si="0"/>
        <v>55</v>
      </c>
      <c r="E7" s="4">
        <f t="shared" si="1"/>
        <v>55</v>
      </c>
      <c r="F7" s="4">
        <v>4</v>
      </c>
      <c r="G7" s="4">
        <v>3</v>
      </c>
      <c r="H7" s="4">
        <v>3</v>
      </c>
      <c r="I7" s="4">
        <v>3</v>
      </c>
      <c r="J7" s="4">
        <v>4</v>
      </c>
      <c r="K7" s="4">
        <v>9</v>
      </c>
      <c r="L7" s="4">
        <v>1</v>
      </c>
      <c r="M7">
        <v>1</v>
      </c>
      <c r="N7">
        <v>4</v>
      </c>
      <c r="O7">
        <v>2</v>
      </c>
      <c r="P7">
        <v>4</v>
      </c>
      <c r="Q7">
        <v>2</v>
      </c>
      <c r="R7">
        <v>6</v>
      </c>
      <c r="S7">
        <v>4</v>
      </c>
      <c r="T7">
        <v>5</v>
      </c>
      <c r="U7">
        <v>0</v>
      </c>
    </row>
    <row r="8" spans="1:21">
      <c r="A8" s="4" t="s">
        <v>38</v>
      </c>
      <c r="B8" s="4">
        <f t="shared" si="2"/>
        <v>86</v>
      </c>
      <c r="C8" s="4">
        <v>72</v>
      </c>
      <c r="D8" s="4">
        <f t="shared" si="0"/>
        <v>14</v>
      </c>
      <c r="E8" s="4">
        <f t="shared" si="1"/>
        <v>14</v>
      </c>
      <c r="F8" s="4">
        <v>0</v>
      </c>
      <c r="G8" s="4">
        <v>2</v>
      </c>
      <c r="H8" s="4">
        <v>0</v>
      </c>
      <c r="I8" s="4">
        <v>1</v>
      </c>
      <c r="J8" s="4">
        <v>3</v>
      </c>
      <c r="K8" s="4">
        <v>2</v>
      </c>
      <c r="L8" s="4">
        <v>0</v>
      </c>
      <c r="M8">
        <v>0</v>
      </c>
      <c r="N8">
        <v>1</v>
      </c>
      <c r="O8">
        <v>0</v>
      </c>
      <c r="P8">
        <v>1</v>
      </c>
      <c r="Q8">
        <v>0</v>
      </c>
      <c r="R8">
        <v>1</v>
      </c>
      <c r="S8">
        <v>0</v>
      </c>
      <c r="T8">
        <v>3</v>
      </c>
      <c r="U8">
        <v>0</v>
      </c>
    </row>
    <row r="9" spans="1:21">
      <c r="A9" s="4" t="s">
        <v>74</v>
      </c>
      <c r="B9" s="4">
        <f t="shared" si="2"/>
        <v>25</v>
      </c>
      <c r="C9" s="4">
        <v>23</v>
      </c>
      <c r="D9" s="4">
        <f t="shared" si="0"/>
        <v>2</v>
      </c>
      <c r="E9" s="4">
        <f t="shared" si="1"/>
        <v>2</v>
      </c>
      <c r="F9" s="4">
        <v>0</v>
      </c>
      <c r="G9" s="4">
        <v>0</v>
      </c>
      <c r="H9" s="4">
        <v>0</v>
      </c>
      <c r="I9" s="4">
        <v>1</v>
      </c>
      <c r="J9" s="4">
        <v>0</v>
      </c>
      <c r="K9" s="4">
        <v>0</v>
      </c>
      <c r="L9" s="4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>
      <c r="A10" s="4" t="s">
        <v>75</v>
      </c>
      <c r="B10" s="8">
        <f>C10+SUM(F10:AI10)</f>
        <v>3134.83</v>
      </c>
      <c r="C10" s="8">
        <v>2732.2</v>
      </c>
      <c r="D10" s="8">
        <f t="shared" si="0"/>
        <v>402.63</v>
      </c>
      <c r="E10" s="21"/>
      <c r="F10" s="9" t="s">
        <v>82</v>
      </c>
      <c r="G10" s="10" t="s">
        <v>83</v>
      </c>
      <c r="H10" s="10" t="s">
        <v>84</v>
      </c>
      <c r="I10" s="4">
        <v>37.369999999999997</v>
      </c>
      <c r="J10" s="4">
        <v>36.15</v>
      </c>
      <c r="K10" s="4">
        <v>39.03</v>
      </c>
      <c r="L10" s="4">
        <v>26.38</v>
      </c>
      <c r="M10">
        <v>26.45</v>
      </c>
      <c r="N10">
        <v>25.3</v>
      </c>
      <c r="O10">
        <v>35.19</v>
      </c>
      <c r="P10">
        <v>30</v>
      </c>
      <c r="Q10">
        <v>28.42</v>
      </c>
      <c r="R10">
        <v>32.49</v>
      </c>
      <c r="S10">
        <v>33.590000000000003</v>
      </c>
      <c r="T10">
        <v>27.14</v>
      </c>
      <c r="U10">
        <v>25.12</v>
      </c>
    </row>
    <row r="11" spans="1:21">
      <c r="A11" s="4" t="s">
        <v>78</v>
      </c>
      <c r="B11" s="4">
        <f t="shared" si="2"/>
        <v>118</v>
      </c>
      <c r="C11" s="4">
        <v>101</v>
      </c>
      <c r="D11" s="4">
        <f t="shared" si="0"/>
        <v>17</v>
      </c>
      <c r="E11" s="4">
        <f>SUM(F11:AI11)</f>
        <v>17</v>
      </c>
      <c r="F11" s="4">
        <v>0</v>
      </c>
      <c r="G11" s="4">
        <v>0</v>
      </c>
      <c r="H11" s="4">
        <v>3</v>
      </c>
      <c r="I11" s="4">
        <v>2</v>
      </c>
      <c r="J11" s="4">
        <v>3</v>
      </c>
      <c r="K11" s="4">
        <v>2</v>
      </c>
      <c r="L11" s="4">
        <v>3</v>
      </c>
      <c r="M11">
        <v>1</v>
      </c>
      <c r="N11">
        <v>1</v>
      </c>
      <c r="O11">
        <v>0</v>
      </c>
      <c r="P11">
        <v>1</v>
      </c>
      <c r="Q11">
        <v>0</v>
      </c>
      <c r="R11">
        <v>0</v>
      </c>
      <c r="S11">
        <v>1</v>
      </c>
      <c r="T11">
        <v>0</v>
      </c>
      <c r="U11">
        <v>0</v>
      </c>
    </row>
    <row r="12" spans="1:21">
      <c r="A12" s="4" t="s">
        <v>79</v>
      </c>
      <c r="B12" s="4">
        <f t="shared" si="2"/>
        <v>115</v>
      </c>
      <c r="C12" s="4">
        <v>99</v>
      </c>
      <c r="D12" s="4">
        <f t="shared" si="0"/>
        <v>16</v>
      </c>
      <c r="E12" s="4">
        <f>SUM(F12:AI12)</f>
        <v>16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B6727-5198-4F80-8E42-06CE13510C6D}">
  <dimension ref="A1:BA26"/>
  <sheetViews>
    <sheetView zoomScale="80" zoomScaleNormal="80" workbookViewId="0">
      <selection activeCell="D27" sqref="D27"/>
    </sheetView>
  </sheetViews>
  <sheetFormatPr defaultRowHeight="14.45"/>
  <cols>
    <col min="1" max="1" width="21.28515625" style="4" customWidth="1"/>
    <col min="2" max="2" width="12.7109375" style="4" customWidth="1"/>
    <col min="3" max="3" width="8.7109375" style="3"/>
    <col min="4" max="4" width="8.7109375" style="12"/>
    <col min="5" max="7" width="9.140625" style="4"/>
  </cols>
  <sheetData>
    <row r="1" spans="1:53">
      <c r="A1" s="3" t="s">
        <v>85</v>
      </c>
      <c r="B1" s="3" t="s">
        <v>71</v>
      </c>
      <c r="C1" s="3" t="s">
        <v>72</v>
      </c>
      <c r="D1" s="13">
        <v>45968</v>
      </c>
      <c r="E1" s="7">
        <v>45970</v>
      </c>
      <c r="F1" s="7">
        <v>45975</v>
      </c>
      <c r="G1" s="7">
        <v>45976</v>
      </c>
      <c r="H1" s="6">
        <v>45983</v>
      </c>
      <c r="I1" s="6">
        <v>45985</v>
      </c>
      <c r="J1" s="6">
        <v>45987</v>
      </c>
      <c r="K1" s="6">
        <v>45990</v>
      </c>
      <c r="L1" s="6">
        <v>45992</v>
      </c>
      <c r="M1" s="6">
        <v>45996</v>
      </c>
      <c r="N1" s="6">
        <v>45997</v>
      </c>
      <c r="O1" s="6">
        <v>46000</v>
      </c>
      <c r="P1" s="6">
        <v>46001</v>
      </c>
      <c r="Q1" s="6">
        <v>46003</v>
      </c>
      <c r="R1" s="6">
        <v>46011</v>
      </c>
      <c r="S1" s="6">
        <v>46013</v>
      </c>
      <c r="T1" s="6">
        <v>46019</v>
      </c>
      <c r="U1" s="6">
        <v>45659</v>
      </c>
      <c r="V1" s="6">
        <v>45661</v>
      </c>
      <c r="W1" s="6">
        <v>45663</v>
      </c>
      <c r="X1" s="6">
        <v>45665</v>
      </c>
      <c r="Y1" s="6">
        <v>45666</v>
      </c>
      <c r="Z1" s="6">
        <v>45669</v>
      </c>
      <c r="AA1" s="6">
        <v>45671</v>
      </c>
      <c r="AB1" s="6">
        <v>46040</v>
      </c>
      <c r="AC1" s="6">
        <v>46041</v>
      </c>
      <c r="AD1" s="6">
        <v>46043</v>
      </c>
      <c r="AE1" s="6">
        <v>46045</v>
      </c>
      <c r="AF1" s="6">
        <v>46048</v>
      </c>
      <c r="AG1" s="6">
        <v>46050</v>
      </c>
      <c r="AH1" s="6">
        <v>46055</v>
      </c>
      <c r="AI1" s="6">
        <v>46058</v>
      </c>
      <c r="AJ1" s="6">
        <v>46059</v>
      </c>
      <c r="AK1" s="6">
        <v>46061</v>
      </c>
      <c r="AL1" s="6">
        <v>46063</v>
      </c>
      <c r="AM1" s="6">
        <v>46065</v>
      </c>
      <c r="AN1" s="6">
        <v>46072</v>
      </c>
      <c r="AO1" s="6">
        <v>46073</v>
      </c>
      <c r="AP1" s="6">
        <v>46078</v>
      </c>
      <c r="AQ1" s="6">
        <v>46079</v>
      </c>
      <c r="AR1" s="6">
        <v>46082</v>
      </c>
      <c r="AS1" s="6">
        <v>46085</v>
      </c>
      <c r="AT1" s="6">
        <v>46087</v>
      </c>
      <c r="AU1" s="6">
        <v>46096</v>
      </c>
      <c r="AV1" s="6">
        <v>46098</v>
      </c>
      <c r="AW1" s="6">
        <v>46100</v>
      </c>
      <c r="AX1" s="6">
        <v>46103</v>
      </c>
      <c r="AY1" s="6">
        <v>46105</v>
      </c>
      <c r="AZ1" s="6">
        <v>46106</v>
      </c>
      <c r="BA1" s="6">
        <v>46109</v>
      </c>
    </row>
    <row r="2" spans="1:53">
      <c r="A2" s="4" t="s">
        <v>35</v>
      </c>
      <c r="B2" s="4">
        <f>+SUM(D2:BA2)</f>
        <v>263</v>
      </c>
      <c r="C2" s="4">
        <f>+SUM(D2:BA2)</f>
        <v>263</v>
      </c>
      <c r="D2" s="12">
        <v>2</v>
      </c>
      <c r="E2" s="18"/>
      <c r="F2" s="4">
        <v>2</v>
      </c>
      <c r="G2" s="18"/>
      <c r="H2">
        <v>0</v>
      </c>
      <c r="I2">
        <v>5</v>
      </c>
      <c r="J2" s="19"/>
      <c r="K2">
        <v>10</v>
      </c>
      <c r="L2">
        <v>7</v>
      </c>
      <c r="M2">
        <v>10</v>
      </c>
      <c r="N2">
        <v>0</v>
      </c>
      <c r="O2">
        <v>0</v>
      </c>
      <c r="P2">
        <v>9</v>
      </c>
      <c r="Q2">
        <v>15</v>
      </c>
      <c r="R2">
        <v>6</v>
      </c>
      <c r="S2">
        <v>4</v>
      </c>
      <c r="T2">
        <v>5</v>
      </c>
      <c r="U2">
        <v>7</v>
      </c>
      <c r="V2">
        <v>0</v>
      </c>
      <c r="W2">
        <v>9</v>
      </c>
      <c r="X2">
        <v>0</v>
      </c>
      <c r="Y2">
        <v>14</v>
      </c>
      <c r="Z2">
        <v>7</v>
      </c>
      <c r="AA2">
        <v>0</v>
      </c>
      <c r="AB2" s="37"/>
      <c r="AC2">
        <v>0</v>
      </c>
      <c r="AD2">
        <v>6</v>
      </c>
      <c r="AE2">
        <v>0</v>
      </c>
      <c r="AF2">
        <v>2</v>
      </c>
      <c r="AG2" s="19"/>
      <c r="AH2" s="19"/>
      <c r="AI2">
        <v>0</v>
      </c>
      <c r="AJ2" s="19"/>
      <c r="AK2">
        <v>0</v>
      </c>
      <c r="AL2" s="19"/>
      <c r="AM2" s="19"/>
      <c r="AN2" s="19"/>
      <c r="AO2" s="19"/>
      <c r="AP2" s="19"/>
      <c r="AQ2" s="19"/>
      <c r="AR2">
        <v>4</v>
      </c>
      <c r="AS2">
        <v>2</v>
      </c>
      <c r="AT2">
        <v>5</v>
      </c>
      <c r="AU2">
        <v>25</v>
      </c>
      <c r="AV2">
        <v>20</v>
      </c>
      <c r="AW2">
        <v>17</v>
      </c>
      <c r="AX2">
        <v>15</v>
      </c>
      <c r="AY2">
        <v>24</v>
      </c>
      <c r="AZ2">
        <v>15</v>
      </c>
      <c r="BA2">
        <v>16</v>
      </c>
    </row>
    <row r="3" spans="1:53">
      <c r="A3" s="4" t="s">
        <v>25</v>
      </c>
      <c r="B3" s="4">
        <f>+SUM(D3:BA3)</f>
        <v>96</v>
      </c>
      <c r="C3" s="4">
        <f>SUM(D3:BA3)</f>
        <v>96</v>
      </c>
      <c r="D3" s="12">
        <v>2</v>
      </c>
      <c r="E3" s="18"/>
      <c r="F3" s="4">
        <v>1</v>
      </c>
      <c r="G3" s="18"/>
      <c r="H3">
        <v>0</v>
      </c>
      <c r="I3">
        <v>0</v>
      </c>
      <c r="J3" s="19"/>
      <c r="K3">
        <v>2</v>
      </c>
      <c r="L3">
        <v>1</v>
      </c>
      <c r="M3">
        <v>2</v>
      </c>
      <c r="N3">
        <v>0</v>
      </c>
      <c r="O3">
        <v>2</v>
      </c>
      <c r="P3">
        <v>4</v>
      </c>
      <c r="Q3">
        <v>4</v>
      </c>
      <c r="R3">
        <v>4</v>
      </c>
      <c r="S3">
        <v>1</v>
      </c>
      <c r="T3">
        <v>2</v>
      </c>
      <c r="U3">
        <v>2</v>
      </c>
      <c r="V3">
        <v>0</v>
      </c>
      <c r="W3">
        <v>3</v>
      </c>
      <c r="X3">
        <v>1</v>
      </c>
      <c r="Y3">
        <v>3</v>
      </c>
      <c r="Z3">
        <v>3</v>
      </c>
      <c r="AA3">
        <v>2</v>
      </c>
      <c r="AB3" s="37"/>
      <c r="AC3">
        <v>0</v>
      </c>
      <c r="AD3">
        <v>3</v>
      </c>
      <c r="AE3">
        <v>1</v>
      </c>
      <c r="AF3">
        <v>0</v>
      </c>
      <c r="AG3" s="19"/>
      <c r="AH3" s="19"/>
      <c r="AI3">
        <v>0</v>
      </c>
      <c r="AJ3" s="19"/>
      <c r="AK3">
        <v>2</v>
      </c>
      <c r="AL3" s="19"/>
      <c r="AM3" s="19"/>
      <c r="AN3" s="19"/>
      <c r="AO3" s="19"/>
      <c r="AP3" s="19"/>
      <c r="AQ3" s="19"/>
      <c r="AR3">
        <v>3</v>
      </c>
      <c r="AS3">
        <v>1</v>
      </c>
      <c r="AT3">
        <v>6</v>
      </c>
      <c r="AU3">
        <v>5</v>
      </c>
      <c r="AV3">
        <v>8</v>
      </c>
      <c r="AW3">
        <v>7</v>
      </c>
      <c r="AX3">
        <v>4</v>
      </c>
      <c r="AY3">
        <v>7</v>
      </c>
      <c r="AZ3">
        <v>2</v>
      </c>
      <c r="BA3">
        <v>8</v>
      </c>
    </row>
    <row r="4" spans="1:53">
      <c r="A4" s="4" t="s">
        <v>27</v>
      </c>
      <c r="B4" s="4">
        <f>+SUM(D4:BA4)</f>
        <v>33</v>
      </c>
      <c r="C4" s="4">
        <f ca="1">SUM(B4:D4)</f>
        <v>0</v>
      </c>
      <c r="D4" s="12">
        <v>0</v>
      </c>
      <c r="E4" s="18"/>
      <c r="F4" s="4">
        <v>0</v>
      </c>
      <c r="G4" s="18"/>
      <c r="H4">
        <v>1</v>
      </c>
      <c r="I4">
        <v>0</v>
      </c>
      <c r="J4" s="19"/>
      <c r="K4">
        <v>0</v>
      </c>
      <c r="L4">
        <v>1</v>
      </c>
      <c r="M4">
        <v>2</v>
      </c>
      <c r="N4">
        <v>0</v>
      </c>
      <c r="O4">
        <v>0</v>
      </c>
      <c r="P4">
        <v>0</v>
      </c>
      <c r="Q4">
        <v>2</v>
      </c>
      <c r="R4">
        <v>0</v>
      </c>
      <c r="S4">
        <v>0</v>
      </c>
      <c r="T4">
        <v>0</v>
      </c>
      <c r="U4">
        <v>0</v>
      </c>
      <c r="V4">
        <v>0</v>
      </c>
      <c r="W4">
        <v>3</v>
      </c>
      <c r="X4">
        <v>0</v>
      </c>
      <c r="Y4">
        <v>0</v>
      </c>
      <c r="Z4">
        <v>0</v>
      </c>
      <c r="AA4">
        <v>0</v>
      </c>
      <c r="AB4" s="37"/>
      <c r="AC4">
        <v>0</v>
      </c>
      <c r="AD4">
        <v>0</v>
      </c>
      <c r="AE4">
        <v>0</v>
      </c>
      <c r="AF4">
        <v>0</v>
      </c>
      <c r="AG4" s="19"/>
      <c r="AH4" s="19"/>
      <c r="AI4">
        <v>1</v>
      </c>
      <c r="AJ4" s="19"/>
      <c r="AK4">
        <v>0</v>
      </c>
      <c r="AL4" s="19"/>
      <c r="AM4" s="19"/>
      <c r="AN4" s="19"/>
      <c r="AO4" s="19"/>
      <c r="AP4" s="19"/>
      <c r="AQ4" s="19"/>
      <c r="AR4">
        <v>2</v>
      </c>
      <c r="AS4">
        <v>0</v>
      </c>
      <c r="AT4">
        <v>3</v>
      </c>
      <c r="AU4">
        <v>1</v>
      </c>
      <c r="AV4">
        <v>2</v>
      </c>
      <c r="AW4">
        <v>3</v>
      </c>
      <c r="AX4">
        <v>4</v>
      </c>
      <c r="AY4">
        <v>4</v>
      </c>
      <c r="AZ4">
        <v>2</v>
      </c>
      <c r="BA4">
        <v>2</v>
      </c>
    </row>
    <row r="5" spans="1:53">
      <c r="A5" s="4" t="s">
        <v>12</v>
      </c>
      <c r="B5" s="4">
        <f>+SUM(D5:BA5)</f>
        <v>22</v>
      </c>
      <c r="C5" s="4">
        <f ca="1">SUM(B5:D5)</f>
        <v>0</v>
      </c>
      <c r="D5" s="12">
        <v>1</v>
      </c>
      <c r="E5" s="18"/>
      <c r="F5" s="4">
        <v>0</v>
      </c>
      <c r="G5" s="18"/>
      <c r="H5">
        <v>0</v>
      </c>
      <c r="I5">
        <v>0</v>
      </c>
      <c r="J5" s="19"/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1</v>
      </c>
      <c r="R5">
        <v>2</v>
      </c>
      <c r="S5">
        <v>1</v>
      </c>
      <c r="T5">
        <v>0</v>
      </c>
      <c r="U5">
        <v>1</v>
      </c>
      <c r="V5">
        <v>1</v>
      </c>
      <c r="W5">
        <v>1</v>
      </c>
      <c r="X5">
        <v>0</v>
      </c>
      <c r="Y5">
        <v>1</v>
      </c>
      <c r="Z5">
        <v>1</v>
      </c>
      <c r="AA5">
        <v>0</v>
      </c>
      <c r="AB5" s="37"/>
      <c r="AC5">
        <v>0</v>
      </c>
      <c r="AD5">
        <v>0</v>
      </c>
      <c r="AE5">
        <v>0</v>
      </c>
      <c r="AF5">
        <v>0</v>
      </c>
      <c r="AG5" s="19"/>
      <c r="AH5" s="19"/>
      <c r="AI5">
        <v>0</v>
      </c>
      <c r="AJ5" s="19"/>
      <c r="AK5">
        <v>0</v>
      </c>
      <c r="AL5" s="19"/>
      <c r="AM5" s="19"/>
      <c r="AN5" s="19"/>
      <c r="AO5" s="19"/>
      <c r="AP5" s="19"/>
      <c r="AQ5" s="19"/>
      <c r="AR5">
        <v>1</v>
      </c>
      <c r="AS5">
        <v>0</v>
      </c>
      <c r="AT5">
        <v>0</v>
      </c>
      <c r="AU5">
        <v>1</v>
      </c>
      <c r="AV5">
        <v>1</v>
      </c>
      <c r="AW5">
        <v>1</v>
      </c>
      <c r="AX5">
        <v>2</v>
      </c>
      <c r="AY5">
        <v>3</v>
      </c>
      <c r="AZ5">
        <v>1</v>
      </c>
      <c r="BA5">
        <v>1</v>
      </c>
    </row>
    <row r="6" spans="1:53">
      <c r="A6" s="4" t="s">
        <v>21</v>
      </c>
      <c r="B6" s="4">
        <f>+SUM(D6:BA6)</f>
        <v>16</v>
      </c>
      <c r="C6" s="4">
        <f ca="1">SUM(B6:D6)</f>
        <v>0</v>
      </c>
      <c r="D6" s="12">
        <v>0</v>
      </c>
      <c r="E6" s="18"/>
      <c r="F6" s="4">
        <v>1</v>
      </c>
      <c r="G6" s="18"/>
      <c r="H6">
        <v>0</v>
      </c>
      <c r="I6">
        <v>0</v>
      </c>
      <c r="J6" s="19"/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1</v>
      </c>
      <c r="Y6">
        <v>1</v>
      </c>
      <c r="Z6">
        <v>0</v>
      </c>
      <c r="AA6">
        <v>1</v>
      </c>
      <c r="AB6" s="37"/>
      <c r="AC6">
        <v>0</v>
      </c>
      <c r="AD6">
        <v>0</v>
      </c>
      <c r="AE6">
        <v>0</v>
      </c>
      <c r="AF6">
        <v>0</v>
      </c>
      <c r="AG6" s="19"/>
      <c r="AH6" s="19"/>
      <c r="AI6">
        <v>0</v>
      </c>
      <c r="AJ6" s="19"/>
      <c r="AK6">
        <v>0</v>
      </c>
      <c r="AL6" s="19"/>
      <c r="AM6" s="19"/>
      <c r="AN6" s="19"/>
      <c r="AO6" s="19"/>
      <c r="AP6" s="19"/>
      <c r="AQ6" s="19"/>
      <c r="AR6">
        <v>1</v>
      </c>
      <c r="AS6">
        <v>0</v>
      </c>
      <c r="AT6">
        <v>0</v>
      </c>
      <c r="AU6">
        <v>1</v>
      </c>
      <c r="AV6">
        <v>1</v>
      </c>
      <c r="AW6">
        <v>3</v>
      </c>
      <c r="AX6">
        <v>1</v>
      </c>
      <c r="AY6">
        <v>1</v>
      </c>
      <c r="AZ6">
        <v>0</v>
      </c>
      <c r="BA6">
        <v>0</v>
      </c>
    </row>
    <row r="7" spans="1:53">
      <c r="A7" s="4" t="s">
        <v>73</v>
      </c>
      <c r="B7" s="4">
        <f>+SUM(D7:BA7)</f>
        <v>92</v>
      </c>
      <c r="C7" s="4">
        <f>SUM(D7:BA7)</f>
        <v>92</v>
      </c>
      <c r="D7" s="12">
        <v>0</v>
      </c>
      <c r="E7" s="18"/>
      <c r="F7" s="4">
        <v>1</v>
      </c>
      <c r="G7" s="18"/>
      <c r="H7">
        <v>0</v>
      </c>
      <c r="I7">
        <v>1</v>
      </c>
      <c r="J7" s="19"/>
      <c r="K7">
        <v>4</v>
      </c>
      <c r="L7">
        <v>3</v>
      </c>
      <c r="M7">
        <v>3</v>
      </c>
      <c r="N7">
        <v>0</v>
      </c>
      <c r="O7">
        <v>0</v>
      </c>
      <c r="P7">
        <v>4</v>
      </c>
      <c r="Q7">
        <v>5</v>
      </c>
      <c r="R7">
        <v>2</v>
      </c>
      <c r="S7">
        <v>1</v>
      </c>
      <c r="T7">
        <v>2</v>
      </c>
      <c r="U7">
        <v>1</v>
      </c>
      <c r="V7">
        <v>0</v>
      </c>
      <c r="W7">
        <v>2</v>
      </c>
      <c r="X7">
        <v>0</v>
      </c>
      <c r="Y7">
        <v>5</v>
      </c>
      <c r="Z7">
        <v>3</v>
      </c>
      <c r="AA7">
        <v>0</v>
      </c>
      <c r="AB7" s="37"/>
      <c r="AC7">
        <v>0</v>
      </c>
      <c r="AD7">
        <v>3</v>
      </c>
      <c r="AE7">
        <v>0</v>
      </c>
      <c r="AF7">
        <v>0</v>
      </c>
      <c r="AG7" s="19"/>
      <c r="AH7" s="19"/>
      <c r="AI7">
        <v>0</v>
      </c>
      <c r="AJ7" s="19"/>
      <c r="AK7">
        <v>0</v>
      </c>
      <c r="AL7" s="19"/>
      <c r="AM7" s="19"/>
      <c r="AN7" s="19"/>
      <c r="AO7" s="19"/>
      <c r="AP7" s="19"/>
      <c r="AQ7" s="19"/>
      <c r="AR7">
        <v>2</v>
      </c>
      <c r="AS7">
        <v>0</v>
      </c>
      <c r="AT7">
        <v>2</v>
      </c>
      <c r="AU7">
        <v>7</v>
      </c>
      <c r="AV7">
        <v>7</v>
      </c>
      <c r="AW7">
        <v>5</v>
      </c>
      <c r="AX7">
        <v>6</v>
      </c>
      <c r="AY7">
        <v>10</v>
      </c>
      <c r="AZ7">
        <v>7</v>
      </c>
      <c r="BA7">
        <v>6</v>
      </c>
    </row>
    <row r="8" spans="1:53">
      <c r="A8" s="4" t="s">
        <v>38</v>
      </c>
      <c r="B8" s="4">
        <f>+SUM(D8:BA8)</f>
        <v>19</v>
      </c>
      <c r="C8" s="4">
        <f ca="1">SUM(B8:D8)</f>
        <v>0</v>
      </c>
      <c r="D8" s="12">
        <v>0</v>
      </c>
      <c r="E8" s="18"/>
      <c r="F8" s="4">
        <v>0</v>
      </c>
      <c r="G8" s="18"/>
      <c r="H8">
        <v>0</v>
      </c>
      <c r="I8">
        <v>0</v>
      </c>
      <c r="J8" s="19"/>
      <c r="K8">
        <v>0</v>
      </c>
      <c r="L8">
        <v>1</v>
      </c>
      <c r="M8">
        <v>1</v>
      </c>
      <c r="N8">
        <v>0</v>
      </c>
      <c r="O8">
        <v>0</v>
      </c>
      <c r="P8">
        <v>1</v>
      </c>
      <c r="Q8">
        <v>1</v>
      </c>
      <c r="R8">
        <v>2</v>
      </c>
      <c r="S8">
        <v>0</v>
      </c>
      <c r="T8">
        <v>1</v>
      </c>
      <c r="U8">
        <v>1</v>
      </c>
      <c r="V8">
        <v>0</v>
      </c>
      <c r="W8">
        <v>1</v>
      </c>
      <c r="X8">
        <v>0</v>
      </c>
      <c r="Y8">
        <v>1</v>
      </c>
      <c r="Z8">
        <v>0</v>
      </c>
      <c r="AA8">
        <v>0</v>
      </c>
      <c r="AB8" s="37"/>
      <c r="AC8">
        <v>0</v>
      </c>
      <c r="AD8">
        <v>0</v>
      </c>
      <c r="AE8">
        <v>0</v>
      </c>
      <c r="AF8">
        <v>0</v>
      </c>
      <c r="AG8" s="19"/>
      <c r="AH8" s="19"/>
      <c r="AI8">
        <v>0</v>
      </c>
      <c r="AJ8" s="19"/>
      <c r="AK8">
        <v>0</v>
      </c>
      <c r="AL8" s="19"/>
      <c r="AM8" s="19"/>
      <c r="AN8" s="19"/>
      <c r="AO8" s="19"/>
      <c r="AP8" s="19"/>
      <c r="AQ8" s="19"/>
      <c r="AR8">
        <v>0</v>
      </c>
      <c r="AS8">
        <v>0</v>
      </c>
      <c r="AT8">
        <v>1</v>
      </c>
      <c r="AU8">
        <v>3</v>
      </c>
      <c r="AV8">
        <v>0</v>
      </c>
      <c r="AW8">
        <v>1</v>
      </c>
      <c r="AX8">
        <v>0</v>
      </c>
      <c r="AY8">
        <v>1</v>
      </c>
      <c r="AZ8">
        <v>1</v>
      </c>
      <c r="BA8">
        <v>2</v>
      </c>
    </row>
    <row r="9" spans="1:53">
      <c r="A9" s="4" t="s">
        <v>74</v>
      </c>
      <c r="B9" s="4">
        <f ca="1">+SUM(B9:D9)</f>
        <v>0</v>
      </c>
      <c r="C9" s="4">
        <f>SUM(D9:BA9)</f>
        <v>0</v>
      </c>
      <c r="D9" s="12">
        <v>0</v>
      </c>
      <c r="E9" s="18"/>
      <c r="F9" s="4">
        <v>0</v>
      </c>
      <c r="G9" s="18"/>
      <c r="H9">
        <v>0</v>
      </c>
      <c r="I9">
        <v>0</v>
      </c>
      <c r="J9" s="19"/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s="37"/>
      <c r="AC9">
        <v>0</v>
      </c>
      <c r="AD9">
        <v>0</v>
      </c>
      <c r="AE9">
        <v>0</v>
      </c>
      <c r="AF9">
        <v>0</v>
      </c>
      <c r="AG9" s="19"/>
      <c r="AH9" s="19"/>
      <c r="AI9">
        <v>0</v>
      </c>
      <c r="AJ9" s="19"/>
      <c r="AK9">
        <v>0</v>
      </c>
      <c r="AL9" s="19"/>
      <c r="AM9" s="19"/>
      <c r="AN9" s="19"/>
      <c r="AO9" s="19"/>
      <c r="AP9" s="19"/>
      <c r="AQ9" s="19"/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</row>
    <row r="10" spans="1:53">
      <c r="A10" s="4" t="s">
        <v>75</v>
      </c>
      <c r="B10" s="5">
        <f>+SUM(D10:BA10)</f>
        <v>561.44999999999993</v>
      </c>
      <c r="C10" s="4">
        <f>SUM(D10:BA10)</f>
        <v>561.44999999999993</v>
      </c>
      <c r="D10" s="14" t="s">
        <v>86</v>
      </c>
      <c r="E10" s="18"/>
      <c r="F10" s="10" t="s">
        <v>87</v>
      </c>
      <c r="G10" s="18"/>
      <c r="H10">
        <v>3.29</v>
      </c>
      <c r="I10">
        <v>9.1199999999999992</v>
      </c>
      <c r="J10" s="19"/>
      <c r="K10">
        <v>15.3</v>
      </c>
      <c r="L10">
        <v>12.54</v>
      </c>
      <c r="M10">
        <v>17.12</v>
      </c>
      <c r="N10">
        <v>6.43</v>
      </c>
      <c r="O10">
        <v>5.19</v>
      </c>
      <c r="P10">
        <v>16.05</v>
      </c>
      <c r="Q10">
        <v>22.18</v>
      </c>
      <c r="R10">
        <v>12.28</v>
      </c>
      <c r="S10">
        <v>12.28</v>
      </c>
      <c r="T10">
        <v>13.01</v>
      </c>
      <c r="U10">
        <v>8.5299999999999994</v>
      </c>
      <c r="V10">
        <v>7.24</v>
      </c>
      <c r="W10">
        <v>19.59</v>
      </c>
      <c r="X10">
        <v>13.34</v>
      </c>
      <c r="Y10">
        <v>18.190000000000001</v>
      </c>
      <c r="Z10">
        <v>23.59</v>
      </c>
      <c r="AA10">
        <v>23.53</v>
      </c>
      <c r="AB10" s="37"/>
      <c r="AC10">
        <v>11.18</v>
      </c>
      <c r="AD10">
        <v>16.510000000000002</v>
      </c>
      <c r="AE10">
        <v>3.59</v>
      </c>
      <c r="AF10">
        <v>4.07</v>
      </c>
      <c r="AG10" s="19"/>
      <c r="AH10" s="19"/>
      <c r="AI10">
        <v>5.14</v>
      </c>
      <c r="AJ10" s="19"/>
      <c r="AK10">
        <v>2.44</v>
      </c>
      <c r="AL10" s="19"/>
      <c r="AM10" s="19"/>
      <c r="AN10" s="19"/>
      <c r="AO10" s="19"/>
      <c r="AP10" s="19"/>
      <c r="AQ10" s="19"/>
      <c r="AR10">
        <v>10.14</v>
      </c>
      <c r="AS10">
        <v>10.19</v>
      </c>
      <c r="AT10">
        <v>15.41</v>
      </c>
      <c r="AU10">
        <v>29.38</v>
      </c>
      <c r="AV10">
        <v>38.450000000000003</v>
      </c>
      <c r="AW10">
        <v>33.03</v>
      </c>
      <c r="AX10">
        <v>39.14</v>
      </c>
      <c r="AY10">
        <v>32.47</v>
      </c>
      <c r="AZ10">
        <v>25.47</v>
      </c>
      <c r="BA10">
        <v>26.04</v>
      </c>
    </row>
    <row r="11" spans="1:53">
      <c r="A11" s="4" t="s">
        <v>78</v>
      </c>
      <c r="B11" s="4">
        <f>+SUM(D11:BA11)</f>
        <v>36</v>
      </c>
      <c r="C11" s="4">
        <f>SUM(D11:BA11)</f>
        <v>36</v>
      </c>
      <c r="D11" s="12">
        <v>1</v>
      </c>
      <c r="E11" s="18"/>
      <c r="F11" s="4">
        <v>0</v>
      </c>
      <c r="G11" s="18"/>
      <c r="H11">
        <v>0</v>
      </c>
      <c r="I11">
        <v>1</v>
      </c>
      <c r="J11" s="19"/>
      <c r="K11">
        <v>1</v>
      </c>
      <c r="L11">
        <v>0</v>
      </c>
      <c r="M11">
        <v>2</v>
      </c>
      <c r="N11">
        <v>0</v>
      </c>
      <c r="O11">
        <v>0</v>
      </c>
      <c r="P11">
        <v>0</v>
      </c>
      <c r="Q11">
        <v>3</v>
      </c>
      <c r="R11">
        <v>0</v>
      </c>
      <c r="S11">
        <v>1</v>
      </c>
      <c r="T11">
        <v>0</v>
      </c>
      <c r="U11">
        <v>2</v>
      </c>
      <c r="V11">
        <v>0</v>
      </c>
      <c r="W11">
        <v>2</v>
      </c>
      <c r="X11">
        <v>0</v>
      </c>
      <c r="Y11">
        <v>2</v>
      </c>
      <c r="Z11">
        <v>1</v>
      </c>
      <c r="AA11">
        <v>2</v>
      </c>
      <c r="AB11" s="37"/>
      <c r="AC11">
        <v>0</v>
      </c>
      <c r="AD11">
        <v>0</v>
      </c>
      <c r="AE11">
        <v>0</v>
      </c>
      <c r="AF11">
        <v>1</v>
      </c>
      <c r="AG11" s="19"/>
      <c r="AH11" s="19"/>
      <c r="AI11">
        <v>0</v>
      </c>
      <c r="AJ11" s="19"/>
      <c r="AK11">
        <v>0</v>
      </c>
      <c r="AL11" s="19"/>
      <c r="AM11" s="19"/>
      <c r="AN11" s="19"/>
      <c r="AO11" s="19"/>
      <c r="AP11" s="19"/>
      <c r="AQ11" s="19"/>
      <c r="AR11">
        <v>0</v>
      </c>
      <c r="AS11">
        <v>1</v>
      </c>
      <c r="AT11">
        <v>0</v>
      </c>
      <c r="AU11">
        <v>4</v>
      </c>
      <c r="AV11">
        <v>3</v>
      </c>
      <c r="AW11">
        <v>4</v>
      </c>
      <c r="AX11">
        <v>2</v>
      </c>
      <c r="AY11">
        <v>2</v>
      </c>
      <c r="AZ11">
        <v>0</v>
      </c>
      <c r="BA11">
        <v>1</v>
      </c>
    </row>
    <row r="12" spans="1:53">
      <c r="A12" s="4" t="s">
        <v>79</v>
      </c>
      <c r="B12" s="4">
        <f>+SUM(D12:BA12)</f>
        <v>37</v>
      </c>
      <c r="C12" s="4">
        <f>SUM(D12:BA12)</f>
        <v>37</v>
      </c>
      <c r="D12" s="12">
        <v>1</v>
      </c>
      <c r="E12" s="18"/>
      <c r="F12" s="4">
        <v>1</v>
      </c>
      <c r="G12" s="18"/>
      <c r="H12">
        <v>1</v>
      </c>
      <c r="I12">
        <v>1</v>
      </c>
      <c r="J12" s="19"/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 s="37"/>
      <c r="AC12">
        <v>1</v>
      </c>
      <c r="AD12">
        <v>1</v>
      </c>
      <c r="AE12">
        <v>1</v>
      </c>
      <c r="AF12">
        <v>1</v>
      </c>
      <c r="AG12" s="19"/>
      <c r="AH12" s="19"/>
      <c r="AI12">
        <v>1</v>
      </c>
      <c r="AJ12" s="19"/>
      <c r="AK12">
        <v>1</v>
      </c>
      <c r="AL12" s="19"/>
      <c r="AM12" s="19"/>
      <c r="AN12" s="19"/>
      <c r="AO12" s="19"/>
      <c r="AP12" s="19"/>
      <c r="AQ12" s="19"/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</row>
    <row r="15" spans="1:53" ht="15">
      <c r="A15" s="3" t="s">
        <v>68</v>
      </c>
      <c r="B15" s="2" t="s">
        <v>71</v>
      </c>
      <c r="C15" s="3" t="s">
        <v>72</v>
      </c>
      <c r="D15" s="13">
        <v>46113</v>
      </c>
    </row>
    <row r="16" spans="1:53" ht="15">
      <c r="A16" s="4" t="s">
        <v>35</v>
      </c>
      <c r="B16" s="12">
        <f>SUM(D16:BA16)</f>
        <v>8</v>
      </c>
      <c r="C16" s="4">
        <v>8</v>
      </c>
      <c r="D16" s="12">
        <v>8</v>
      </c>
    </row>
    <row r="17" spans="1:4" ht="15">
      <c r="A17" s="4" t="s">
        <v>25</v>
      </c>
      <c r="B17" s="12">
        <f t="shared" ref="B17:B26" si="0">SUM(D17:BA17)</f>
        <v>5</v>
      </c>
      <c r="C17" s="4">
        <v>5</v>
      </c>
      <c r="D17" s="12">
        <v>5</v>
      </c>
    </row>
    <row r="18" spans="1:4" ht="15">
      <c r="A18" s="4" t="s">
        <v>27</v>
      </c>
      <c r="B18" s="12">
        <f t="shared" si="0"/>
        <v>2</v>
      </c>
      <c r="C18" s="4">
        <v>2</v>
      </c>
      <c r="D18" s="12">
        <v>2</v>
      </c>
    </row>
    <row r="19" spans="1:4" ht="15">
      <c r="A19" s="4" t="s">
        <v>12</v>
      </c>
      <c r="B19" s="12">
        <f t="shared" si="0"/>
        <v>1</v>
      </c>
      <c r="C19" s="4">
        <v>1</v>
      </c>
      <c r="D19" s="12">
        <v>1</v>
      </c>
    </row>
    <row r="20" spans="1:4" ht="15">
      <c r="A20" s="4" t="s">
        <v>21</v>
      </c>
      <c r="B20" s="12">
        <f t="shared" si="0"/>
        <v>0</v>
      </c>
      <c r="C20" s="4">
        <v>0</v>
      </c>
      <c r="D20" s="12">
        <v>0</v>
      </c>
    </row>
    <row r="21" spans="1:4" ht="15">
      <c r="A21" s="4" t="s">
        <v>73</v>
      </c>
      <c r="B21" s="12">
        <f t="shared" si="0"/>
        <v>3</v>
      </c>
      <c r="C21" s="4">
        <v>3</v>
      </c>
      <c r="D21" s="12">
        <v>3</v>
      </c>
    </row>
    <row r="22" spans="1:4" ht="15">
      <c r="A22" s="4" t="s">
        <v>38</v>
      </c>
      <c r="B22" s="12">
        <f t="shared" si="0"/>
        <v>2</v>
      </c>
      <c r="C22" s="4">
        <v>2</v>
      </c>
      <c r="D22" s="12">
        <v>2</v>
      </c>
    </row>
    <row r="23" spans="1:4" ht="15">
      <c r="A23" s="4" t="s">
        <v>74</v>
      </c>
      <c r="B23" s="12">
        <f t="shared" si="0"/>
        <v>0</v>
      </c>
      <c r="C23" s="4">
        <v>0</v>
      </c>
      <c r="D23" s="12">
        <v>0</v>
      </c>
    </row>
    <row r="24" spans="1:4" ht="15">
      <c r="A24" s="4" t="s">
        <v>75</v>
      </c>
      <c r="B24" s="12">
        <f t="shared" si="0"/>
        <v>24.32</v>
      </c>
      <c r="C24" s="4">
        <v>24.32</v>
      </c>
      <c r="D24" s="12">
        <v>24.32</v>
      </c>
    </row>
    <row r="25" spans="1:4" ht="15">
      <c r="A25" s="4" t="s">
        <v>78</v>
      </c>
      <c r="B25" s="12">
        <f t="shared" si="0"/>
        <v>0</v>
      </c>
      <c r="C25" s="4">
        <v>0</v>
      </c>
      <c r="D25" s="12">
        <v>0</v>
      </c>
    </row>
    <row r="26" spans="1:4" ht="15">
      <c r="A26" s="4" t="s">
        <v>79</v>
      </c>
      <c r="B26" s="12">
        <f t="shared" si="0"/>
        <v>1</v>
      </c>
      <c r="C26" s="4">
        <v>1</v>
      </c>
      <c r="D26" s="1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09C1A-1CA2-4D34-B1F8-C57D0367C414}">
  <dimension ref="A1:AT26"/>
  <sheetViews>
    <sheetView workbookViewId="0">
      <selection activeCell="H17" sqref="H17"/>
    </sheetView>
  </sheetViews>
  <sheetFormatPr defaultRowHeight="15" customHeight="1"/>
  <cols>
    <col min="1" max="1" width="21.28515625" style="4" customWidth="1"/>
    <col min="2" max="3" width="12.7109375" style="4" customWidth="1"/>
    <col min="4" max="4" width="13.7109375" style="4" customWidth="1"/>
    <col min="5" max="5" width="10.140625" style="4" customWidth="1"/>
    <col min="6" max="6" width="8.7109375" style="3"/>
    <col min="9" max="9" width="8.7109375" style="24"/>
  </cols>
  <sheetData>
    <row r="1" spans="1:46" ht="14.45">
      <c r="A1" s="3" t="s">
        <v>88</v>
      </c>
      <c r="B1" s="3" t="s">
        <v>71</v>
      </c>
      <c r="C1" s="3" t="s">
        <v>81</v>
      </c>
      <c r="D1" s="3" t="s">
        <v>89</v>
      </c>
      <c r="E1" s="3" t="s">
        <v>11</v>
      </c>
      <c r="F1" s="29" t="s">
        <v>72</v>
      </c>
      <c r="G1" s="27">
        <v>45996</v>
      </c>
      <c r="H1" s="27">
        <v>45997</v>
      </c>
      <c r="I1" s="23">
        <v>46000</v>
      </c>
      <c r="J1" s="6">
        <v>46001</v>
      </c>
      <c r="K1" s="6">
        <v>46003</v>
      </c>
      <c r="L1" s="6">
        <v>46011</v>
      </c>
      <c r="M1" s="6">
        <v>46013</v>
      </c>
      <c r="N1" s="6">
        <v>46019</v>
      </c>
      <c r="O1" s="6">
        <v>45659</v>
      </c>
      <c r="P1" s="6">
        <v>45661</v>
      </c>
      <c r="Q1" s="6">
        <v>45663</v>
      </c>
      <c r="R1" s="6">
        <v>45665</v>
      </c>
      <c r="S1" s="6">
        <v>45666</v>
      </c>
      <c r="T1" s="6">
        <v>45669</v>
      </c>
      <c r="U1" s="6">
        <v>46040</v>
      </c>
      <c r="V1" s="6">
        <v>46041</v>
      </c>
      <c r="W1" s="6">
        <v>46043</v>
      </c>
      <c r="X1" s="6">
        <v>46045</v>
      </c>
      <c r="Y1" s="6">
        <v>46048</v>
      </c>
      <c r="Z1" s="6">
        <v>46050</v>
      </c>
      <c r="AA1" s="6">
        <v>46055</v>
      </c>
      <c r="AB1" s="6">
        <v>46058</v>
      </c>
      <c r="AC1" s="6">
        <v>46059</v>
      </c>
      <c r="AD1" s="6">
        <v>46061</v>
      </c>
      <c r="AE1" s="6">
        <v>46063</v>
      </c>
      <c r="AF1" s="6">
        <v>46065</v>
      </c>
      <c r="AG1" s="6">
        <v>46072</v>
      </c>
      <c r="AH1" s="6">
        <v>46073</v>
      </c>
      <c r="AI1" s="6">
        <v>46078</v>
      </c>
      <c r="AJ1" s="6">
        <v>46079</v>
      </c>
      <c r="AK1" s="6">
        <v>46082</v>
      </c>
      <c r="AL1" s="6">
        <v>46085</v>
      </c>
      <c r="AM1" s="6">
        <v>46087</v>
      </c>
      <c r="AN1" s="6"/>
      <c r="AO1" s="6"/>
      <c r="AP1" s="6"/>
      <c r="AQ1" s="6"/>
      <c r="AR1" s="6"/>
      <c r="AS1" s="6"/>
      <c r="AT1" s="6"/>
    </row>
    <row r="2" spans="1:46" ht="14.45">
      <c r="A2" s="4" t="s">
        <v>35</v>
      </c>
      <c r="B2" s="5">
        <f>C2+SUM(G2:AZ2)</f>
        <v>2042</v>
      </c>
      <c r="C2" s="5">
        <v>1521</v>
      </c>
      <c r="D2" s="4">
        <v>822</v>
      </c>
      <c r="E2" s="5">
        <f>D2+SUM(G2:AZ2)</f>
        <v>1343</v>
      </c>
      <c r="F2" s="30">
        <f>SUM(G2:AZ2)</f>
        <v>521</v>
      </c>
      <c r="G2" s="28">
        <v>14</v>
      </c>
      <c r="H2" s="28">
        <v>34</v>
      </c>
      <c r="I2" s="24">
        <v>14</v>
      </c>
      <c r="J2">
        <v>13</v>
      </c>
      <c r="K2">
        <v>20</v>
      </c>
      <c r="L2">
        <v>11</v>
      </c>
      <c r="M2">
        <v>13</v>
      </c>
      <c r="N2">
        <v>18</v>
      </c>
      <c r="O2">
        <v>35</v>
      </c>
      <c r="P2">
        <v>22</v>
      </c>
      <c r="Q2">
        <v>16</v>
      </c>
      <c r="R2">
        <v>22</v>
      </c>
      <c r="S2">
        <v>12</v>
      </c>
      <c r="T2" s="19"/>
      <c r="U2">
        <v>27</v>
      </c>
      <c r="V2">
        <v>16</v>
      </c>
      <c r="W2">
        <v>15</v>
      </c>
      <c r="X2">
        <v>2</v>
      </c>
      <c r="Y2">
        <v>22</v>
      </c>
      <c r="Z2">
        <v>15</v>
      </c>
      <c r="AA2">
        <v>26</v>
      </c>
      <c r="AB2">
        <v>5</v>
      </c>
      <c r="AC2">
        <v>15</v>
      </c>
      <c r="AD2">
        <v>12</v>
      </c>
      <c r="AE2">
        <v>23</v>
      </c>
      <c r="AF2">
        <v>8</v>
      </c>
      <c r="AG2">
        <v>14</v>
      </c>
      <c r="AH2">
        <v>10</v>
      </c>
      <c r="AI2">
        <v>12</v>
      </c>
      <c r="AJ2">
        <v>18</v>
      </c>
      <c r="AK2">
        <v>14</v>
      </c>
      <c r="AL2">
        <v>11</v>
      </c>
      <c r="AM2">
        <v>12</v>
      </c>
    </row>
    <row r="3" spans="1:46" ht="14.45">
      <c r="A3" s="4" t="s">
        <v>25</v>
      </c>
      <c r="B3" s="4">
        <f>C3+SUM(G3:AZ3)</f>
        <v>404</v>
      </c>
      <c r="C3" s="4">
        <v>312</v>
      </c>
      <c r="D3" s="4">
        <v>148</v>
      </c>
      <c r="E3" s="4">
        <f>D3+SUM(G3:AZ3)</f>
        <v>240</v>
      </c>
      <c r="F3" s="30">
        <f t="shared" ref="F3:F12" si="0">SUM(G3:AZ3)</f>
        <v>92</v>
      </c>
      <c r="G3" s="28">
        <v>5</v>
      </c>
      <c r="H3" s="28">
        <v>4</v>
      </c>
      <c r="I3" s="24">
        <v>1</v>
      </c>
      <c r="J3">
        <v>0</v>
      </c>
      <c r="K3">
        <v>1</v>
      </c>
      <c r="L3">
        <v>2</v>
      </c>
      <c r="M3">
        <v>2</v>
      </c>
      <c r="N3">
        <v>5</v>
      </c>
      <c r="O3">
        <v>6</v>
      </c>
      <c r="P3">
        <v>2</v>
      </c>
      <c r="Q3">
        <v>5</v>
      </c>
      <c r="R3">
        <v>4</v>
      </c>
      <c r="S3">
        <v>3</v>
      </c>
      <c r="T3" s="19"/>
      <c r="U3">
        <v>3</v>
      </c>
      <c r="V3">
        <v>2</v>
      </c>
      <c r="W3">
        <v>1</v>
      </c>
      <c r="X3">
        <v>3</v>
      </c>
      <c r="Y3">
        <v>4</v>
      </c>
      <c r="Z3">
        <v>1</v>
      </c>
      <c r="AA3">
        <v>4</v>
      </c>
      <c r="AB3">
        <v>1</v>
      </c>
      <c r="AC3">
        <v>1</v>
      </c>
      <c r="AD3">
        <v>2</v>
      </c>
      <c r="AE3">
        <v>6</v>
      </c>
      <c r="AF3">
        <v>4</v>
      </c>
      <c r="AG3">
        <v>3</v>
      </c>
      <c r="AH3">
        <v>4</v>
      </c>
      <c r="AI3">
        <v>1</v>
      </c>
      <c r="AJ3">
        <v>6</v>
      </c>
      <c r="AK3">
        <v>1</v>
      </c>
      <c r="AL3">
        <v>3</v>
      </c>
      <c r="AM3">
        <v>2</v>
      </c>
    </row>
    <row r="4" spans="1:46" ht="14.45">
      <c r="A4" s="4" t="s">
        <v>27</v>
      </c>
      <c r="B4" s="4">
        <f>C4+SUM(G4:AZ4)</f>
        <v>507</v>
      </c>
      <c r="C4" s="4">
        <v>381</v>
      </c>
      <c r="D4" s="4">
        <v>168</v>
      </c>
      <c r="E4" s="4">
        <f>D4+SUM(G4:AZ4)</f>
        <v>294</v>
      </c>
      <c r="F4" s="30">
        <f t="shared" si="0"/>
        <v>126</v>
      </c>
      <c r="G4" s="28">
        <v>2</v>
      </c>
      <c r="H4" s="28">
        <v>4</v>
      </c>
      <c r="I4" s="24">
        <v>2</v>
      </c>
      <c r="J4">
        <v>1</v>
      </c>
      <c r="K4">
        <v>2</v>
      </c>
      <c r="L4">
        <v>6</v>
      </c>
      <c r="M4">
        <v>1</v>
      </c>
      <c r="N4">
        <v>3</v>
      </c>
      <c r="O4">
        <v>2</v>
      </c>
      <c r="P4">
        <v>6</v>
      </c>
      <c r="Q4">
        <v>8</v>
      </c>
      <c r="R4">
        <v>3</v>
      </c>
      <c r="S4">
        <v>6</v>
      </c>
      <c r="T4" s="19"/>
      <c r="U4">
        <v>4</v>
      </c>
      <c r="V4">
        <v>10</v>
      </c>
      <c r="W4">
        <v>8</v>
      </c>
      <c r="X4">
        <v>2</v>
      </c>
      <c r="Y4">
        <v>7</v>
      </c>
      <c r="Z4">
        <v>2</v>
      </c>
      <c r="AA4">
        <v>6</v>
      </c>
      <c r="AB4">
        <v>3</v>
      </c>
      <c r="AC4">
        <v>0</v>
      </c>
      <c r="AD4">
        <v>4</v>
      </c>
      <c r="AE4">
        <v>4</v>
      </c>
      <c r="AF4">
        <v>5</v>
      </c>
      <c r="AG4">
        <v>5</v>
      </c>
      <c r="AH4">
        <v>3</v>
      </c>
      <c r="AI4">
        <v>2</v>
      </c>
      <c r="AJ4">
        <v>2</v>
      </c>
      <c r="AK4">
        <v>4</v>
      </c>
      <c r="AL4">
        <v>3</v>
      </c>
      <c r="AM4">
        <v>6</v>
      </c>
    </row>
    <row r="5" spans="1:46" ht="14.45">
      <c r="A5" s="4" t="s">
        <v>12</v>
      </c>
      <c r="B5" s="4">
        <f>C5+SUM(G5:AZ5)</f>
        <v>147</v>
      </c>
      <c r="C5" s="4">
        <v>114</v>
      </c>
      <c r="D5" s="4">
        <v>67</v>
      </c>
      <c r="E5" s="4">
        <f>D5+SUM(G5:AZ5)</f>
        <v>100</v>
      </c>
      <c r="F5" s="30">
        <f t="shared" si="0"/>
        <v>33</v>
      </c>
      <c r="G5" s="28">
        <v>1</v>
      </c>
      <c r="H5" s="28">
        <v>1</v>
      </c>
      <c r="I5" s="24">
        <v>1</v>
      </c>
      <c r="J5">
        <v>1</v>
      </c>
      <c r="K5">
        <v>1</v>
      </c>
      <c r="L5">
        <v>1</v>
      </c>
      <c r="M5">
        <v>1</v>
      </c>
      <c r="N5">
        <v>3</v>
      </c>
      <c r="O5">
        <v>2</v>
      </c>
      <c r="P5">
        <v>0</v>
      </c>
      <c r="Q5">
        <v>2</v>
      </c>
      <c r="R5">
        <v>1</v>
      </c>
      <c r="S5">
        <v>0</v>
      </c>
      <c r="T5" s="19"/>
      <c r="U5">
        <v>1</v>
      </c>
      <c r="V5">
        <v>3</v>
      </c>
      <c r="W5">
        <v>1</v>
      </c>
      <c r="X5">
        <v>1</v>
      </c>
      <c r="Y5">
        <v>0</v>
      </c>
      <c r="Z5">
        <v>1</v>
      </c>
      <c r="AA5">
        <v>1</v>
      </c>
      <c r="AB5">
        <v>0</v>
      </c>
      <c r="AC5">
        <v>1</v>
      </c>
      <c r="AD5">
        <v>0</v>
      </c>
      <c r="AE5">
        <v>2</v>
      </c>
      <c r="AF5">
        <v>2</v>
      </c>
      <c r="AG5">
        <v>0</v>
      </c>
      <c r="AH5">
        <v>0</v>
      </c>
      <c r="AI5">
        <v>3</v>
      </c>
      <c r="AJ5">
        <v>0</v>
      </c>
      <c r="AK5">
        <v>0</v>
      </c>
      <c r="AL5">
        <v>1</v>
      </c>
      <c r="AM5">
        <v>1</v>
      </c>
    </row>
    <row r="6" spans="1:46" ht="14.45">
      <c r="A6" s="4" t="s">
        <v>21</v>
      </c>
      <c r="B6" s="4">
        <f>C6+SUM(G6:AZ6)</f>
        <v>32</v>
      </c>
      <c r="C6" s="4">
        <v>28</v>
      </c>
      <c r="D6" s="4">
        <v>9</v>
      </c>
      <c r="E6" s="4">
        <f>D6+SUM(G6:AZ6)</f>
        <v>13</v>
      </c>
      <c r="F6" s="30">
        <f t="shared" si="0"/>
        <v>4</v>
      </c>
      <c r="G6" s="28">
        <v>0</v>
      </c>
      <c r="H6" s="28">
        <v>0</v>
      </c>
      <c r="I6" s="24">
        <v>0</v>
      </c>
      <c r="J6">
        <v>0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 s="19"/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46" ht="14.45">
      <c r="A7" s="4" t="s">
        <v>73</v>
      </c>
      <c r="B7" s="4">
        <f>C7+SUM(G7:AZ7)</f>
        <v>687</v>
      </c>
      <c r="C7" s="4">
        <v>520</v>
      </c>
      <c r="D7" s="4">
        <v>280</v>
      </c>
      <c r="E7" s="4">
        <f>D7+SUM(G7:AZ7)</f>
        <v>447</v>
      </c>
      <c r="F7" s="30">
        <f t="shared" si="0"/>
        <v>167</v>
      </c>
      <c r="G7" s="28">
        <v>5</v>
      </c>
      <c r="H7" s="28">
        <v>11</v>
      </c>
      <c r="I7" s="24">
        <v>6</v>
      </c>
      <c r="J7">
        <v>4</v>
      </c>
      <c r="K7">
        <v>6</v>
      </c>
      <c r="L7">
        <v>4</v>
      </c>
      <c r="M7">
        <v>4</v>
      </c>
      <c r="N7">
        <v>5</v>
      </c>
      <c r="O7">
        <v>13</v>
      </c>
      <c r="P7">
        <v>7</v>
      </c>
      <c r="Q7">
        <v>4</v>
      </c>
      <c r="R7">
        <v>7</v>
      </c>
      <c r="S7">
        <v>3</v>
      </c>
      <c r="T7" s="19"/>
      <c r="U7">
        <v>7</v>
      </c>
      <c r="V7">
        <v>6</v>
      </c>
      <c r="W7">
        <v>6</v>
      </c>
      <c r="X7">
        <v>1</v>
      </c>
      <c r="Y7">
        <v>6</v>
      </c>
      <c r="Z7">
        <v>4</v>
      </c>
      <c r="AA7">
        <v>9</v>
      </c>
      <c r="AB7">
        <v>2</v>
      </c>
      <c r="AC7">
        <v>5</v>
      </c>
      <c r="AD7">
        <v>3</v>
      </c>
      <c r="AE7">
        <v>7</v>
      </c>
      <c r="AF7">
        <v>1</v>
      </c>
      <c r="AG7">
        <v>5</v>
      </c>
      <c r="AH7">
        <v>3</v>
      </c>
      <c r="AI7">
        <v>4</v>
      </c>
      <c r="AJ7">
        <v>7</v>
      </c>
      <c r="AK7">
        <v>4</v>
      </c>
      <c r="AL7">
        <v>4</v>
      </c>
      <c r="AM7">
        <v>4</v>
      </c>
    </row>
    <row r="8" spans="1:46" ht="14.45">
      <c r="A8" s="4" t="s">
        <v>38</v>
      </c>
      <c r="B8" s="4">
        <f>C8+SUM(G8:AZ8)</f>
        <v>371</v>
      </c>
      <c r="C8" s="4">
        <v>248</v>
      </c>
      <c r="D8" s="4">
        <v>141</v>
      </c>
      <c r="E8" s="4">
        <f>D8+SUM(G8:AZ8)</f>
        <v>264</v>
      </c>
      <c r="F8" s="30">
        <f t="shared" si="0"/>
        <v>123</v>
      </c>
      <c r="G8" s="28">
        <v>4</v>
      </c>
      <c r="H8" s="28">
        <v>10</v>
      </c>
      <c r="I8" s="24">
        <v>2</v>
      </c>
      <c r="J8">
        <v>3</v>
      </c>
      <c r="K8">
        <v>6</v>
      </c>
      <c r="L8">
        <v>3</v>
      </c>
      <c r="M8">
        <v>4</v>
      </c>
      <c r="N8">
        <v>4</v>
      </c>
      <c r="O8">
        <v>8</v>
      </c>
      <c r="P8">
        <v>6</v>
      </c>
      <c r="Q8">
        <v>3</v>
      </c>
      <c r="R8">
        <v>5</v>
      </c>
      <c r="S8">
        <v>2</v>
      </c>
      <c r="T8" s="19"/>
      <c r="U8">
        <v>3</v>
      </c>
      <c r="V8">
        <v>4</v>
      </c>
      <c r="W8">
        <v>3</v>
      </c>
      <c r="X8">
        <v>0</v>
      </c>
      <c r="Y8">
        <v>6</v>
      </c>
      <c r="Z8">
        <v>3</v>
      </c>
      <c r="AA8">
        <v>7</v>
      </c>
      <c r="AB8">
        <v>1</v>
      </c>
      <c r="AC8">
        <v>4</v>
      </c>
      <c r="AD8">
        <v>2</v>
      </c>
      <c r="AE8">
        <v>5</v>
      </c>
      <c r="AF8">
        <v>1</v>
      </c>
      <c r="AG8">
        <v>4</v>
      </c>
      <c r="AH8">
        <v>2</v>
      </c>
      <c r="AI8">
        <v>4</v>
      </c>
      <c r="AJ8">
        <v>4</v>
      </c>
      <c r="AK8">
        <v>3</v>
      </c>
      <c r="AL8">
        <v>3</v>
      </c>
      <c r="AM8">
        <v>4</v>
      </c>
    </row>
    <row r="9" spans="1:46" ht="14.45">
      <c r="A9" s="4" t="s">
        <v>74</v>
      </c>
      <c r="B9" s="4">
        <f>C9+SUM(G9:AZ9)</f>
        <v>1</v>
      </c>
      <c r="C9" s="4">
        <v>0</v>
      </c>
      <c r="D9" s="4">
        <v>0</v>
      </c>
      <c r="E9" s="4">
        <f>D9+SUM(G9:AZ9)</f>
        <v>1</v>
      </c>
      <c r="F9" s="30">
        <f t="shared" si="0"/>
        <v>1</v>
      </c>
      <c r="G9" s="28">
        <v>0</v>
      </c>
      <c r="H9" s="28">
        <v>0</v>
      </c>
      <c r="I9" s="24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 s="19"/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46" ht="14.45">
      <c r="A10" s="4" t="s">
        <v>75</v>
      </c>
      <c r="B10" s="5">
        <f>C10+SUM(G10:AZ10)</f>
        <v>4394.55</v>
      </c>
      <c r="C10" s="8">
        <v>3395</v>
      </c>
      <c r="D10" s="8">
        <v>1658</v>
      </c>
      <c r="E10" s="8">
        <f>D10+SUM(G10:AZ10)</f>
        <v>2657.55</v>
      </c>
      <c r="F10" s="30">
        <f t="shared" si="0"/>
        <v>999.55</v>
      </c>
      <c r="G10" s="28">
        <v>23.24</v>
      </c>
      <c r="H10" s="28">
        <v>33.43</v>
      </c>
      <c r="I10" s="24">
        <v>29.14</v>
      </c>
      <c r="J10">
        <v>16.440000000000001</v>
      </c>
      <c r="K10">
        <v>35.39</v>
      </c>
      <c r="L10">
        <v>26.11</v>
      </c>
      <c r="M10">
        <v>26.33</v>
      </c>
      <c r="N10">
        <v>25.59</v>
      </c>
      <c r="O10">
        <v>33.549999999999997</v>
      </c>
      <c r="P10">
        <v>36.270000000000003</v>
      </c>
      <c r="Q10">
        <v>36.520000000000003</v>
      </c>
      <c r="R10">
        <v>36.33</v>
      </c>
      <c r="S10">
        <v>39.31</v>
      </c>
      <c r="T10" s="19"/>
      <c r="U10">
        <v>36.450000000000003</v>
      </c>
      <c r="V10">
        <v>30.14</v>
      </c>
      <c r="W10">
        <v>34.340000000000003</v>
      </c>
      <c r="X10">
        <v>20.46</v>
      </c>
      <c r="Y10">
        <v>35.4</v>
      </c>
      <c r="Z10">
        <v>40.01</v>
      </c>
      <c r="AA10">
        <v>37.04</v>
      </c>
      <c r="AB10">
        <v>26.28</v>
      </c>
      <c r="AC10">
        <v>21.54</v>
      </c>
      <c r="AD10">
        <v>31.34</v>
      </c>
      <c r="AE10">
        <v>38</v>
      </c>
      <c r="AF10">
        <v>32.549999999999997</v>
      </c>
      <c r="AG10">
        <v>31.57</v>
      </c>
      <c r="AH10">
        <v>26.44</v>
      </c>
      <c r="AI10">
        <v>29.53</v>
      </c>
      <c r="AJ10">
        <v>33.479999999999997</v>
      </c>
      <c r="AK10">
        <v>30.56</v>
      </c>
      <c r="AL10">
        <v>34.31</v>
      </c>
      <c r="AM10">
        <v>32.46</v>
      </c>
    </row>
    <row r="11" spans="1:46" ht="14.45">
      <c r="A11" s="4" t="s">
        <v>78</v>
      </c>
      <c r="B11" s="4">
        <f>C11+SUM(G11:AZ11)</f>
        <v>190</v>
      </c>
      <c r="C11" s="4">
        <v>150</v>
      </c>
      <c r="D11" s="5">
        <v>81</v>
      </c>
      <c r="E11" s="5">
        <f>D11+SUM(G11:AZ11)</f>
        <v>121</v>
      </c>
      <c r="F11" s="30">
        <f t="shared" si="0"/>
        <v>40</v>
      </c>
      <c r="G11" s="28">
        <v>0</v>
      </c>
      <c r="H11" s="28">
        <v>1</v>
      </c>
      <c r="I11" s="24">
        <v>0</v>
      </c>
      <c r="J11">
        <v>1</v>
      </c>
      <c r="K11">
        <v>1</v>
      </c>
      <c r="L11">
        <v>0</v>
      </c>
      <c r="M11">
        <v>1</v>
      </c>
      <c r="N11">
        <v>4</v>
      </c>
      <c r="O11">
        <v>1</v>
      </c>
      <c r="P11">
        <v>1</v>
      </c>
      <c r="Q11">
        <v>4</v>
      </c>
      <c r="R11">
        <v>1</v>
      </c>
      <c r="S11">
        <v>3</v>
      </c>
      <c r="T11" s="19"/>
      <c r="U11">
        <v>4</v>
      </c>
      <c r="V11">
        <v>0</v>
      </c>
      <c r="W11">
        <v>0</v>
      </c>
      <c r="X11">
        <v>0</v>
      </c>
      <c r="Y11">
        <v>3</v>
      </c>
      <c r="Z11">
        <v>2</v>
      </c>
      <c r="AA11">
        <v>1</v>
      </c>
      <c r="AB11">
        <v>0</v>
      </c>
      <c r="AC11">
        <v>1</v>
      </c>
      <c r="AD11">
        <v>2</v>
      </c>
      <c r="AE11">
        <v>2</v>
      </c>
      <c r="AF11">
        <v>3</v>
      </c>
      <c r="AG11">
        <v>0</v>
      </c>
      <c r="AH11">
        <v>2</v>
      </c>
      <c r="AI11">
        <v>0</v>
      </c>
      <c r="AJ11">
        <v>0</v>
      </c>
      <c r="AK11">
        <v>2</v>
      </c>
      <c r="AL11">
        <v>0</v>
      </c>
      <c r="AM11">
        <v>0</v>
      </c>
    </row>
    <row r="12" spans="1:46" ht="14.45">
      <c r="A12" s="4" t="s">
        <v>79</v>
      </c>
      <c r="B12" s="4">
        <f>C12+SUM(G12:AZ12)</f>
        <v>164</v>
      </c>
      <c r="C12" s="4">
        <v>132</v>
      </c>
      <c r="D12" s="5">
        <v>48</v>
      </c>
      <c r="E12" s="5">
        <f>D12+SUM(G12:AZ12)</f>
        <v>80</v>
      </c>
      <c r="F12" s="30">
        <f t="shared" si="0"/>
        <v>32</v>
      </c>
      <c r="G12" s="28">
        <v>1</v>
      </c>
      <c r="H12" s="28">
        <v>1</v>
      </c>
      <c r="I12" s="24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 s="19"/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</row>
    <row r="15" spans="1:46" ht="15" customHeight="1">
      <c r="A15" s="3" t="s">
        <v>68</v>
      </c>
      <c r="B15" s="2" t="s">
        <v>71</v>
      </c>
      <c r="C15" s="3" t="s">
        <v>72</v>
      </c>
      <c r="D15" s="7">
        <v>46113</v>
      </c>
    </row>
    <row r="16" spans="1:46" ht="15" customHeight="1">
      <c r="A16" s="4" t="s">
        <v>35</v>
      </c>
      <c r="B16" s="12">
        <f>SUM(D16:BA16)</f>
        <v>12</v>
      </c>
      <c r="C16" s="4">
        <v>12</v>
      </c>
      <c r="D16" s="4">
        <v>12</v>
      </c>
    </row>
    <row r="17" spans="1:4" ht="15" customHeight="1">
      <c r="A17" s="4" t="s">
        <v>25</v>
      </c>
      <c r="B17" s="12">
        <f t="shared" ref="B17:B26" si="1">SUM(D17:BA17)</f>
        <v>3</v>
      </c>
      <c r="C17" s="4">
        <v>3</v>
      </c>
      <c r="D17" s="4">
        <v>3</v>
      </c>
    </row>
    <row r="18" spans="1:4" ht="15" customHeight="1">
      <c r="A18" s="4" t="s">
        <v>27</v>
      </c>
      <c r="B18" s="12">
        <f t="shared" si="1"/>
        <v>0</v>
      </c>
      <c r="C18" s="4">
        <v>0</v>
      </c>
      <c r="D18" s="4">
        <v>0</v>
      </c>
    </row>
    <row r="19" spans="1:4" ht="15" customHeight="1">
      <c r="A19" s="4" t="s">
        <v>12</v>
      </c>
      <c r="B19" s="12">
        <f t="shared" si="1"/>
        <v>1</v>
      </c>
      <c r="C19" s="4">
        <v>1</v>
      </c>
      <c r="D19" s="4">
        <v>1</v>
      </c>
    </row>
    <row r="20" spans="1:4" ht="15" customHeight="1">
      <c r="A20" s="4" t="s">
        <v>21</v>
      </c>
      <c r="B20" s="12">
        <f t="shared" si="1"/>
        <v>0</v>
      </c>
      <c r="C20" s="4">
        <v>0</v>
      </c>
      <c r="D20" s="4">
        <v>0</v>
      </c>
    </row>
    <row r="21" spans="1:4" ht="15" customHeight="1">
      <c r="A21" s="4" t="s">
        <v>73</v>
      </c>
      <c r="B21" s="12">
        <f t="shared" si="1"/>
        <v>4</v>
      </c>
      <c r="C21" s="4">
        <v>4</v>
      </c>
      <c r="D21" s="4">
        <v>4</v>
      </c>
    </row>
    <row r="22" spans="1:4" ht="15" customHeight="1">
      <c r="A22" s="4" t="s">
        <v>38</v>
      </c>
      <c r="B22" s="12">
        <f t="shared" si="1"/>
        <v>2</v>
      </c>
      <c r="C22" s="4">
        <v>2</v>
      </c>
      <c r="D22" s="4">
        <v>2</v>
      </c>
    </row>
    <row r="23" spans="1:4" ht="15" customHeight="1">
      <c r="A23" s="4" t="s">
        <v>74</v>
      </c>
      <c r="B23" s="12">
        <f t="shared" si="1"/>
        <v>0</v>
      </c>
      <c r="C23" s="4">
        <v>0</v>
      </c>
      <c r="D23" s="4">
        <v>0</v>
      </c>
    </row>
    <row r="24" spans="1:4" ht="15" customHeight="1">
      <c r="A24" s="4" t="s">
        <v>75</v>
      </c>
      <c r="B24" s="12">
        <f t="shared" si="1"/>
        <v>32.229999999999997</v>
      </c>
      <c r="C24" s="4">
        <v>32.229999999999997</v>
      </c>
      <c r="D24" s="4">
        <v>32.229999999999997</v>
      </c>
    </row>
    <row r="25" spans="1:4" ht="15" customHeight="1">
      <c r="A25" s="4" t="s">
        <v>78</v>
      </c>
      <c r="B25" s="12">
        <f t="shared" si="1"/>
        <v>2</v>
      </c>
      <c r="C25" s="4">
        <v>2</v>
      </c>
      <c r="D25" s="4">
        <v>2</v>
      </c>
    </row>
    <row r="26" spans="1:4" ht="15" customHeight="1">
      <c r="A26" s="4" t="s">
        <v>79</v>
      </c>
      <c r="B26" s="12">
        <f t="shared" si="1"/>
        <v>1</v>
      </c>
      <c r="C26" s="4">
        <v>1</v>
      </c>
      <c r="D26" s="4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A5DD-76DE-418A-A53B-176864AB6F38}">
  <dimension ref="A1:Z26"/>
  <sheetViews>
    <sheetView workbookViewId="0">
      <selection activeCell="C27" sqref="C27"/>
    </sheetView>
  </sheetViews>
  <sheetFormatPr defaultRowHeight="15" customHeight="1"/>
  <cols>
    <col min="1" max="1" width="22.140625" style="4" customWidth="1"/>
    <col min="2" max="2" width="12.7109375" style="4" customWidth="1"/>
    <col min="3" max="3" width="13.7109375" style="4" customWidth="1"/>
    <col min="4" max="4" width="10.140625" style="4" customWidth="1"/>
    <col min="5" max="5" width="9.140625" style="3"/>
    <col min="8" max="8" width="9.140625" style="24"/>
  </cols>
  <sheetData>
    <row r="1" spans="1:26">
      <c r="A1" s="3" t="s">
        <v>90</v>
      </c>
      <c r="B1" s="3" t="s">
        <v>71</v>
      </c>
      <c r="C1" s="3" t="s">
        <v>91</v>
      </c>
      <c r="D1" s="3" t="s">
        <v>72</v>
      </c>
      <c r="E1" s="3" t="s">
        <v>11</v>
      </c>
      <c r="F1" s="6">
        <v>46098</v>
      </c>
      <c r="G1" s="6">
        <v>46100</v>
      </c>
      <c r="H1" s="23">
        <v>46103</v>
      </c>
      <c r="I1" s="6">
        <v>46105</v>
      </c>
      <c r="J1" s="6">
        <v>46106</v>
      </c>
      <c r="K1" s="6">
        <v>46109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4" t="s">
        <v>35</v>
      </c>
      <c r="B2" s="5">
        <f t="shared" ref="B2:B9" si="0">C2+SUM(F2:AI2)</f>
        <v>1614</v>
      </c>
      <c r="C2" s="5">
        <v>1524</v>
      </c>
      <c r="D2" s="5">
        <f>+SUM(F2:AI2)</f>
        <v>90</v>
      </c>
      <c r="E2" s="4">
        <f t="shared" ref="E2:E12" si="1">SUM(F2:AI2)</f>
        <v>90</v>
      </c>
      <c r="F2">
        <v>17</v>
      </c>
      <c r="G2">
        <v>17</v>
      </c>
      <c r="H2" s="24">
        <v>15</v>
      </c>
      <c r="I2">
        <v>8</v>
      </c>
      <c r="J2">
        <v>8</v>
      </c>
      <c r="K2">
        <v>25</v>
      </c>
    </row>
    <row r="3" spans="1:26">
      <c r="A3" s="4" t="s">
        <v>25</v>
      </c>
      <c r="B3" s="4">
        <f t="shared" si="0"/>
        <v>502</v>
      </c>
      <c r="C3" s="4">
        <v>479</v>
      </c>
      <c r="D3" s="4">
        <f>+SUM(F3:AI3)</f>
        <v>23</v>
      </c>
      <c r="E3" s="4">
        <f t="shared" si="1"/>
        <v>23</v>
      </c>
      <c r="F3">
        <v>3</v>
      </c>
      <c r="G3">
        <v>3</v>
      </c>
      <c r="H3" s="24">
        <v>4</v>
      </c>
      <c r="I3">
        <v>5</v>
      </c>
      <c r="J3">
        <v>2</v>
      </c>
      <c r="K3">
        <v>6</v>
      </c>
    </row>
    <row r="4" spans="1:26">
      <c r="A4" s="4" t="s">
        <v>27</v>
      </c>
      <c r="B4" s="4">
        <f t="shared" si="0"/>
        <v>275</v>
      </c>
      <c r="C4" s="4">
        <v>257</v>
      </c>
      <c r="D4" s="4">
        <f>+SUM(F4:AI4)</f>
        <v>18</v>
      </c>
      <c r="E4" s="4">
        <f t="shared" si="1"/>
        <v>18</v>
      </c>
      <c r="F4">
        <v>0</v>
      </c>
      <c r="G4">
        <v>3</v>
      </c>
      <c r="H4" s="24">
        <v>5</v>
      </c>
      <c r="I4">
        <v>3</v>
      </c>
      <c r="J4">
        <v>6</v>
      </c>
      <c r="K4">
        <v>1</v>
      </c>
    </row>
    <row r="5" spans="1:26">
      <c r="A5" s="4" t="s">
        <v>12</v>
      </c>
      <c r="B5" s="4">
        <f t="shared" si="0"/>
        <v>92</v>
      </c>
      <c r="C5" s="4">
        <v>86</v>
      </c>
      <c r="D5" s="4">
        <f>+SUM(F5:AI5)</f>
        <v>6</v>
      </c>
      <c r="E5" s="4">
        <f t="shared" si="1"/>
        <v>6</v>
      </c>
      <c r="F5">
        <v>0</v>
      </c>
      <c r="G5">
        <v>3</v>
      </c>
      <c r="H5" s="24">
        <v>1</v>
      </c>
      <c r="I5">
        <v>2</v>
      </c>
      <c r="J5">
        <v>0</v>
      </c>
      <c r="K5">
        <v>0</v>
      </c>
    </row>
    <row r="6" spans="1:26">
      <c r="A6" s="4" t="s">
        <v>21</v>
      </c>
      <c r="B6" s="4">
        <f t="shared" si="0"/>
        <v>29</v>
      </c>
      <c r="C6" s="4">
        <v>28</v>
      </c>
      <c r="D6" s="4">
        <f>+SUM(F6:AI6)</f>
        <v>1</v>
      </c>
      <c r="E6" s="4">
        <f t="shared" si="1"/>
        <v>1</v>
      </c>
      <c r="F6">
        <v>1</v>
      </c>
      <c r="G6">
        <v>0</v>
      </c>
      <c r="H6" s="24">
        <v>0</v>
      </c>
      <c r="I6">
        <v>0</v>
      </c>
      <c r="J6">
        <v>0</v>
      </c>
      <c r="K6">
        <v>0</v>
      </c>
    </row>
    <row r="7" spans="1:26">
      <c r="A7" s="4" t="s">
        <v>73</v>
      </c>
      <c r="B7" s="4">
        <f t="shared" si="0"/>
        <v>576</v>
      </c>
      <c r="C7" s="4">
        <v>544</v>
      </c>
      <c r="D7" s="4">
        <f>+SUM(F7:AI7)</f>
        <v>32</v>
      </c>
      <c r="E7" s="4">
        <f t="shared" si="1"/>
        <v>32</v>
      </c>
      <c r="F7">
        <v>7</v>
      </c>
      <c r="G7">
        <v>6</v>
      </c>
      <c r="H7" s="24">
        <v>4</v>
      </c>
      <c r="I7">
        <v>3</v>
      </c>
      <c r="J7">
        <v>2</v>
      </c>
      <c r="K7">
        <v>10</v>
      </c>
    </row>
    <row r="8" spans="1:26">
      <c r="A8" s="4" t="s">
        <v>38</v>
      </c>
      <c r="B8" s="4">
        <f t="shared" si="0"/>
        <v>467</v>
      </c>
      <c r="C8" s="4">
        <v>456</v>
      </c>
      <c r="D8" s="4">
        <f>+SUM(F8:AI8)</f>
        <v>11</v>
      </c>
      <c r="E8" s="4">
        <f t="shared" si="1"/>
        <v>11</v>
      </c>
      <c r="F8">
        <v>3</v>
      </c>
      <c r="G8">
        <v>3</v>
      </c>
      <c r="H8" s="24">
        <v>1</v>
      </c>
      <c r="I8">
        <v>0</v>
      </c>
      <c r="J8">
        <v>1</v>
      </c>
      <c r="K8">
        <v>3</v>
      </c>
    </row>
    <row r="9" spans="1:26">
      <c r="A9" s="4" t="s">
        <v>74</v>
      </c>
      <c r="B9" s="4">
        <f>C9+SUM(F9:AI9)</f>
        <v>14</v>
      </c>
      <c r="C9" s="4">
        <v>14</v>
      </c>
      <c r="D9" s="4">
        <f>+SUM(F9:AI9)</f>
        <v>0</v>
      </c>
      <c r="E9" s="4">
        <f t="shared" si="1"/>
        <v>0</v>
      </c>
      <c r="F9">
        <v>0</v>
      </c>
      <c r="G9">
        <v>0</v>
      </c>
      <c r="H9" s="24">
        <v>0</v>
      </c>
      <c r="I9">
        <v>0</v>
      </c>
      <c r="J9">
        <v>0</v>
      </c>
      <c r="K9">
        <v>0</v>
      </c>
    </row>
    <row r="10" spans="1:26">
      <c r="A10" s="4" t="s">
        <v>75</v>
      </c>
      <c r="B10" s="5">
        <f>C10+SUM(F10:AI10)</f>
        <v>2640.24</v>
      </c>
      <c r="C10" s="8">
        <v>2448</v>
      </c>
      <c r="D10" s="8">
        <f>+SUM(F10:AI10)</f>
        <v>192.24</v>
      </c>
      <c r="E10" s="4">
        <f t="shared" si="1"/>
        <v>192.24</v>
      </c>
      <c r="F10">
        <v>30.43</v>
      </c>
      <c r="G10">
        <v>35.479999999999997</v>
      </c>
      <c r="H10" s="24">
        <v>34.39</v>
      </c>
      <c r="I10">
        <v>36.340000000000003</v>
      </c>
      <c r="J10">
        <v>27.55</v>
      </c>
      <c r="K10">
        <v>28.05</v>
      </c>
    </row>
    <row r="11" spans="1:26">
      <c r="A11" s="4" t="s">
        <v>78</v>
      </c>
      <c r="B11" s="5">
        <f>C11+SUM(F11:AI11)</f>
        <v>188</v>
      </c>
      <c r="C11" s="5">
        <v>179</v>
      </c>
      <c r="D11" s="5">
        <f>+SUM(F11:AI11)</f>
        <v>9</v>
      </c>
      <c r="E11" s="4">
        <f t="shared" si="1"/>
        <v>9</v>
      </c>
      <c r="F11">
        <v>0</v>
      </c>
      <c r="G11">
        <v>1</v>
      </c>
      <c r="H11" s="24">
        <v>4</v>
      </c>
      <c r="I11">
        <v>2</v>
      </c>
      <c r="J11">
        <v>1</v>
      </c>
      <c r="K11">
        <v>1</v>
      </c>
    </row>
    <row r="12" spans="1:26">
      <c r="A12" s="4" t="s">
        <v>79</v>
      </c>
      <c r="B12" s="5">
        <f>C12+SUM(F12:AI12)</f>
        <v>86</v>
      </c>
      <c r="C12" s="5">
        <v>80</v>
      </c>
      <c r="D12" s="5">
        <f>+SUM(F12:AI12)</f>
        <v>6</v>
      </c>
      <c r="E12" s="4">
        <f t="shared" si="1"/>
        <v>6</v>
      </c>
      <c r="F12">
        <v>1</v>
      </c>
      <c r="G12">
        <v>1</v>
      </c>
      <c r="H12" s="24">
        <v>1</v>
      </c>
      <c r="I12">
        <v>1</v>
      </c>
      <c r="J12">
        <v>1</v>
      </c>
      <c r="K12">
        <v>1</v>
      </c>
    </row>
    <row r="15" spans="1:26" ht="15" customHeight="1">
      <c r="A15" s="3" t="s">
        <v>68</v>
      </c>
      <c r="B15" s="2" t="s">
        <v>71</v>
      </c>
      <c r="C15" s="3" t="s">
        <v>72</v>
      </c>
      <c r="D15" s="7">
        <v>46113</v>
      </c>
    </row>
    <row r="16" spans="1:26" ht="15" customHeight="1">
      <c r="A16" s="4" t="s">
        <v>35</v>
      </c>
      <c r="B16" s="12">
        <f>SUM(D16:BA16)</f>
        <v>2</v>
      </c>
      <c r="C16" s="4">
        <v>2</v>
      </c>
      <c r="D16" s="4">
        <v>2</v>
      </c>
    </row>
    <row r="17" spans="1:4" ht="15" customHeight="1">
      <c r="A17" s="4" t="s">
        <v>25</v>
      </c>
      <c r="B17" s="12">
        <f t="shared" ref="B17:B26" si="2">SUM(D17:BA17)</f>
        <v>4</v>
      </c>
      <c r="C17" s="4">
        <v>4</v>
      </c>
      <c r="D17" s="4">
        <v>4</v>
      </c>
    </row>
    <row r="18" spans="1:4" ht="15" customHeight="1">
      <c r="A18" s="4" t="s">
        <v>27</v>
      </c>
      <c r="B18" s="12">
        <f t="shared" si="2"/>
        <v>3</v>
      </c>
      <c r="C18" s="4">
        <v>3</v>
      </c>
      <c r="D18" s="4">
        <v>3</v>
      </c>
    </row>
    <row r="19" spans="1:4" ht="15" customHeight="1">
      <c r="A19" s="4" t="s">
        <v>12</v>
      </c>
      <c r="B19" s="12">
        <f t="shared" si="2"/>
        <v>1</v>
      </c>
      <c r="C19" s="4">
        <v>1</v>
      </c>
      <c r="D19" s="4">
        <v>1</v>
      </c>
    </row>
    <row r="20" spans="1:4" ht="15" customHeight="1">
      <c r="A20" s="4" t="s">
        <v>21</v>
      </c>
      <c r="B20" s="12">
        <f t="shared" si="2"/>
        <v>0</v>
      </c>
      <c r="C20" s="4">
        <v>0</v>
      </c>
      <c r="D20" s="4">
        <v>0</v>
      </c>
    </row>
    <row r="21" spans="1:4" ht="15" customHeight="1">
      <c r="A21" s="4" t="s">
        <v>73</v>
      </c>
      <c r="B21" s="12">
        <f t="shared" si="2"/>
        <v>1</v>
      </c>
      <c r="C21" s="4">
        <v>1</v>
      </c>
      <c r="D21" s="4">
        <v>1</v>
      </c>
    </row>
    <row r="22" spans="1:4" ht="15" customHeight="1">
      <c r="A22" s="4" t="s">
        <v>38</v>
      </c>
      <c r="B22" s="12">
        <f t="shared" si="2"/>
        <v>0</v>
      </c>
      <c r="C22" s="4">
        <v>0</v>
      </c>
      <c r="D22" s="4">
        <v>0</v>
      </c>
    </row>
    <row r="23" spans="1:4" ht="15" customHeight="1">
      <c r="A23" s="4" t="s">
        <v>74</v>
      </c>
      <c r="B23" s="12">
        <f t="shared" si="2"/>
        <v>0</v>
      </c>
      <c r="C23" s="4">
        <v>0</v>
      </c>
      <c r="D23" s="4">
        <v>0</v>
      </c>
    </row>
    <row r="24" spans="1:4" ht="15" customHeight="1">
      <c r="A24" s="4" t="s">
        <v>75</v>
      </c>
      <c r="B24" s="12">
        <f t="shared" si="2"/>
        <v>17.45</v>
      </c>
      <c r="C24" s="4">
        <v>17.45</v>
      </c>
      <c r="D24" s="4">
        <v>17.45</v>
      </c>
    </row>
    <row r="25" spans="1:4" ht="15" customHeight="1">
      <c r="A25" s="4" t="s">
        <v>78</v>
      </c>
      <c r="B25" s="12">
        <f t="shared" si="2"/>
        <v>0</v>
      </c>
      <c r="C25" s="4">
        <v>0</v>
      </c>
      <c r="D25" s="4">
        <v>0</v>
      </c>
    </row>
    <row r="26" spans="1:4" ht="15" customHeight="1">
      <c r="A26" s="4" t="s">
        <v>79</v>
      </c>
      <c r="B26" s="12">
        <f t="shared" si="2"/>
        <v>1</v>
      </c>
      <c r="C26" s="4">
        <v>1</v>
      </c>
      <c r="D26" s="4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47901-4941-4008-AD80-C9333FE07FF7}">
  <dimension ref="A1:Z26"/>
  <sheetViews>
    <sheetView workbookViewId="0">
      <selection activeCell="C27" sqref="C27"/>
    </sheetView>
  </sheetViews>
  <sheetFormatPr defaultRowHeight="15" customHeight="1"/>
  <cols>
    <col min="1" max="1" width="21.28515625" style="4" customWidth="1"/>
    <col min="2" max="2" width="12.7109375" style="4" customWidth="1"/>
    <col min="3" max="3" width="13.7109375" style="4" customWidth="1"/>
    <col min="4" max="4" width="10.140625" style="4" customWidth="1"/>
    <col min="5" max="5" width="9.140625" style="3"/>
    <col min="8" max="8" width="9.140625" style="24"/>
  </cols>
  <sheetData>
    <row r="1" spans="1:26">
      <c r="A1" s="3" t="s">
        <v>92</v>
      </c>
      <c r="B1" s="3" t="s">
        <v>71</v>
      </c>
      <c r="C1" s="3" t="s">
        <v>93</v>
      </c>
      <c r="D1" s="3" t="s">
        <v>72</v>
      </c>
      <c r="E1" s="3" t="s">
        <v>11</v>
      </c>
      <c r="F1" s="6">
        <v>46096</v>
      </c>
      <c r="G1" s="6">
        <v>46098</v>
      </c>
      <c r="H1" s="23">
        <v>46100</v>
      </c>
      <c r="I1" s="6">
        <v>46103</v>
      </c>
      <c r="J1" s="6">
        <v>46105</v>
      </c>
      <c r="K1" s="6">
        <v>46106</v>
      </c>
      <c r="L1" s="6">
        <v>46109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4" t="s">
        <v>35</v>
      </c>
      <c r="B2" s="5">
        <f t="shared" ref="B2:B9" si="0">C2+SUM(F2:AI2)</f>
        <v>18</v>
      </c>
      <c r="C2" s="4">
        <v>8</v>
      </c>
      <c r="D2" s="5">
        <f>C2+SUM(F2:AI2)</f>
        <v>18</v>
      </c>
      <c r="E2" s="4">
        <f t="shared" ref="E2:E12" si="1">SUM(F2:AI2)</f>
        <v>10</v>
      </c>
      <c r="F2">
        <v>0</v>
      </c>
      <c r="G2" s="19"/>
      <c r="H2" s="24">
        <v>0</v>
      </c>
      <c r="I2" s="19"/>
      <c r="J2">
        <v>0</v>
      </c>
      <c r="K2">
        <v>10</v>
      </c>
      <c r="L2">
        <v>0</v>
      </c>
    </row>
    <row r="3" spans="1:26">
      <c r="A3" s="4" t="s">
        <v>25</v>
      </c>
      <c r="B3" s="4">
        <f t="shared" si="0"/>
        <v>11</v>
      </c>
      <c r="C3" s="4">
        <v>2</v>
      </c>
      <c r="D3" s="4">
        <f t="shared" ref="D3:D12" si="2">C3+SUM(F3:AI3)</f>
        <v>11</v>
      </c>
      <c r="E3" s="4">
        <f t="shared" si="1"/>
        <v>9</v>
      </c>
      <c r="F3">
        <v>0</v>
      </c>
      <c r="G3" s="19"/>
      <c r="H3" s="24">
        <v>0</v>
      </c>
      <c r="I3" s="19"/>
      <c r="J3">
        <v>4</v>
      </c>
      <c r="K3">
        <v>4</v>
      </c>
      <c r="L3">
        <v>1</v>
      </c>
    </row>
    <row r="4" spans="1:26">
      <c r="A4" s="4" t="s">
        <v>27</v>
      </c>
      <c r="B4" s="4">
        <f t="shared" si="0"/>
        <v>4</v>
      </c>
      <c r="C4" s="4">
        <v>2</v>
      </c>
      <c r="D4" s="4">
        <f t="shared" si="2"/>
        <v>4</v>
      </c>
      <c r="E4" s="4">
        <f t="shared" si="1"/>
        <v>2</v>
      </c>
      <c r="F4">
        <v>0</v>
      </c>
      <c r="G4" s="19"/>
      <c r="H4" s="24">
        <v>1</v>
      </c>
      <c r="I4" s="19"/>
      <c r="J4">
        <v>0</v>
      </c>
      <c r="K4">
        <v>1</v>
      </c>
      <c r="L4">
        <v>0</v>
      </c>
    </row>
    <row r="5" spans="1:26">
      <c r="A5" s="4" t="s">
        <v>12</v>
      </c>
      <c r="B5" s="4">
        <f t="shared" si="0"/>
        <v>7</v>
      </c>
      <c r="C5" s="4">
        <v>4</v>
      </c>
      <c r="D5" s="4">
        <f t="shared" si="2"/>
        <v>7</v>
      </c>
      <c r="E5" s="4">
        <f t="shared" si="1"/>
        <v>3</v>
      </c>
      <c r="F5">
        <v>0</v>
      </c>
      <c r="G5" s="19"/>
      <c r="H5" s="24">
        <v>0</v>
      </c>
      <c r="I5" s="19"/>
      <c r="J5">
        <v>0</v>
      </c>
      <c r="K5">
        <v>2</v>
      </c>
      <c r="L5">
        <v>1</v>
      </c>
    </row>
    <row r="6" spans="1:26">
      <c r="A6" s="4" t="s">
        <v>21</v>
      </c>
      <c r="B6" s="4">
        <f t="shared" si="0"/>
        <v>0</v>
      </c>
      <c r="C6" s="4">
        <v>0</v>
      </c>
      <c r="D6" s="4">
        <f t="shared" si="2"/>
        <v>0</v>
      </c>
      <c r="E6" s="4">
        <f t="shared" si="1"/>
        <v>0</v>
      </c>
      <c r="F6">
        <v>0</v>
      </c>
      <c r="G6" s="19"/>
      <c r="H6" s="24">
        <v>0</v>
      </c>
      <c r="I6" s="19"/>
      <c r="J6">
        <v>0</v>
      </c>
      <c r="K6">
        <v>0</v>
      </c>
      <c r="L6">
        <v>0</v>
      </c>
    </row>
    <row r="7" spans="1:26">
      <c r="A7" s="4" t="s">
        <v>73</v>
      </c>
      <c r="B7" s="4">
        <f t="shared" si="0"/>
        <v>7</v>
      </c>
      <c r="C7" s="4">
        <v>3</v>
      </c>
      <c r="D7" s="4">
        <f t="shared" si="2"/>
        <v>7</v>
      </c>
      <c r="E7" s="4">
        <f t="shared" si="1"/>
        <v>4</v>
      </c>
      <c r="F7">
        <v>0</v>
      </c>
      <c r="G7" s="19"/>
      <c r="H7" s="24">
        <v>0</v>
      </c>
      <c r="I7" s="19"/>
      <c r="J7">
        <v>0</v>
      </c>
      <c r="K7">
        <v>4</v>
      </c>
      <c r="L7">
        <v>0</v>
      </c>
    </row>
    <row r="8" spans="1:26">
      <c r="A8" s="4" t="s">
        <v>38</v>
      </c>
      <c r="B8" s="4">
        <f t="shared" si="0"/>
        <v>4</v>
      </c>
      <c r="C8" s="4">
        <v>2</v>
      </c>
      <c r="D8" s="4">
        <f t="shared" si="2"/>
        <v>4</v>
      </c>
      <c r="E8" s="4">
        <f t="shared" si="1"/>
        <v>2</v>
      </c>
      <c r="F8">
        <v>0</v>
      </c>
      <c r="G8" s="19"/>
      <c r="H8" s="24">
        <v>0</v>
      </c>
      <c r="I8" s="19"/>
      <c r="J8">
        <v>0</v>
      </c>
      <c r="K8">
        <v>2</v>
      </c>
      <c r="L8">
        <v>0</v>
      </c>
    </row>
    <row r="9" spans="1:26">
      <c r="A9" s="4" t="s">
        <v>74</v>
      </c>
      <c r="B9" s="4">
        <f>C9+SUM(F9:AI9)</f>
        <v>0</v>
      </c>
      <c r="C9" s="4">
        <v>0</v>
      </c>
      <c r="D9" s="4">
        <f t="shared" si="2"/>
        <v>0</v>
      </c>
      <c r="E9" s="4">
        <f t="shared" si="1"/>
        <v>0</v>
      </c>
      <c r="F9">
        <v>0</v>
      </c>
      <c r="G9" s="19"/>
      <c r="H9" s="24">
        <v>0</v>
      </c>
      <c r="I9" s="19"/>
      <c r="J9">
        <v>0</v>
      </c>
      <c r="K9">
        <v>0</v>
      </c>
      <c r="L9">
        <v>0</v>
      </c>
    </row>
    <row r="10" spans="1:26">
      <c r="A10" s="4" t="s">
        <v>75</v>
      </c>
      <c r="B10" s="5">
        <f>C10+SUM(F10:AI10)</f>
        <v>111.60999999999999</v>
      </c>
      <c r="C10" s="8">
        <v>37</v>
      </c>
      <c r="D10" s="8">
        <f t="shared" si="2"/>
        <v>111.60999999999999</v>
      </c>
      <c r="E10" s="4">
        <f t="shared" si="1"/>
        <v>74.609999999999985</v>
      </c>
      <c r="F10">
        <v>11.44</v>
      </c>
      <c r="G10" s="19"/>
      <c r="H10" s="24">
        <v>9.14</v>
      </c>
      <c r="I10" s="19"/>
      <c r="J10">
        <v>16.13</v>
      </c>
      <c r="K10">
        <v>26.55</v>
      </c>
      <c r="L10">
        <v>11.35</v>
      </c>
    </row>
    <row r="11" spans="1:26">
      <c r="A11" s="4" t="s">
        <v>78</v>
      </c>
      <c r="B11" s="5">
        <f>C11+SUM(F11:AI11)</f>
        <v>0</v>
      </c>
      <c r="C11" s="5">
        <v>0</v>
      </c>
      <c r="D11" s="5">
        <f t="shared" si="2"/>
        <v>0</v>
      </c>
      <c r="E11" s="4">
        <f t="shared" si="1"/>
        <v>0</v>
      </c>
      <c r="F11">
        <v>0</v>
      </c>
      <c r="G11" s="19"/>
      <c r="H11" s="24">
        <v>0</v>
      </c>
      <c r="I11" s="19"/>
      <c r="J11">
        <v>0</v>
      </c>
      <c r="K11">
        <v>0</v>
      </c>
      <c r="L11">
        <v>0</v>
      </c>
    </row>
    <row r="12" spans="1:26">
      <c r="A12" s="4" t="s">
        <v>79</v>
      </c>
      <c r="B12" s="5">
        <f>C12+SUM(F12:AI12)</f>
        <v>10</v>
      </c>
      <c r="C12" s="5">
        <v>5</v>
      </c>
      <c r="D12" s="5">
        <f t="shared" si="2"/>
        <v>10</v>
      </c>
      <c r="E12" s="4">
        <f t="shared" si="1"/>
        <v>5</v>
      </c>
      <c r="F12">
        <v>1</v>
      </c>
      <c r="G12" s="19"/>
      <c r="H12" s="24">
        <v>1</v>
      </c>
      <c r="I12" s="19"/>
      <c r="J12">
        <v>1</v>
      </c>
      <c r="K12">
        <v>1</v>
      </c>
      <c r="L12">
        <v>1</v>
      </c>
    </row>
    <row r="15" spans="1:26" ht="15" customHeight="1">
      <c r="A15" s="3" t="s">
        <v>68</v>
      </c>
      <c r="B15" s="2" t="s">
        <v>71</v>
      </c>
      <c r="C15" s="3" t="s">
        <v>72</v>
      </c>
      <c r="D15" s="7">
        <v>46113</v>
      </c>
    </row>
    <row r="16" spans="1:26" ht="15" customHeight="1">
      <c r="A16" s="4" t="s">
        <v>35</v>
      </c>
      <c r="B16" s="12">
        <f>SUM(D16:BA16)</f>
        <v>0</v>
      </c>
      <c r="C16" s="4">
        <v>0</v>
      </c>
      <c r="D16" s="18"/>
    </row>
    <row r="17" spans="1:4" ht="15" customHeight="1">
      <c r="A17" s="4" t="s">
        <v>25</v>
      </c>
      <c r="B17" s="12">
        <f t="shared" ref="B17:B26" si="3">SUM(D17:BA17)</f>
        <v>0</v>
      </c>
      <c r="C17" s="4">
        <v>0</v>
      </c>
      <c r="D17" s="18"/>
    </row>
    <row r="18" spans="1:4" ht="15" customHeight="1">
      <c r="A18" s="4" t="s">
        <v>27</v>
      </c>
      <c r="B18" s="12">
        <f t="shared" si="3"/>
        <v>0</v>
      </c>
      <c r="C18" s="4">
        <v>0</v>
      </c>
      <c r="D18" s="18"/>
    </row>
    <row r="19" spans="1:4" ht="15" customHeight="1">
      <c r="A19" s="4" t="s">
        <v>12</v>
      </c>
      <c r="B19" s="12">
        <f t="shared" si="3"/>
        <v>0</v>
      </c>
      <c r="C19" s="4">
        <v>0</v>
      </c>
      <c r="D19" s="18"/>
    </row>
    <row r="20" spans="1:4" ht="15" customHeight="1">
      <c r="A20" s="4" t="s">
        <v>21</v>
      </c>
      <c r="B20" s="12">
        <f t="shared" si="3"/>
        <v>0</v>
      </c>
      <c r="C20" s="4">
        <v>0</v>
      </c>
      <c r="D20" s="18"/>
    </row>
    <row r="21" spans="1:4" ht="15" customHeight="1">
      <c r="A21" s="4" t="s">
        <v>73</v>
      </c>
      <c r="B21" s="12">
        <f t="shared" si="3"/>
        <v>0</v>
      </c>
      <c r="C21" s="4">
        <v>0</v>
      </c>
      <c r="D21" s="18"/>
    </row>
    <row r="22" spans="1:4" ht="15" customHeight="1">
      <c r="A22" s="4" t="s">
        <v>38</v>
      </c>
      <c r="B22" s="12">
        <f t="shared" si="3"/>
        <v>0</v>
      </c>
      <c r="C22" s="4">
        <v>0</v>
      </c>
      <c r="D22" s="18"/>
    </row>
    <row r="23" spans="1:4" ht="15" customHeight="1">
      <c r="A23" s="4" t="s">
        <v>74</v>
      </c>
      <c r="B23" s="12">
        <f t="shared" si="3"/>
        <v>0</v>
      </c>
      <c r="C23" s="4">
        <v>0</v>
      </c>
      <c r="D23" s="18"/>
    </row>
    <row r="24" spans="1:4" ht="15" customHeight="1">
      <c r="A24" s="4" t="s">
        <v>75</v>
      </c>
      <c r="B24" s="12">
        <f t="shared" si="3"/>
        <v>0</v>
      </c>
      <c r="C24" s="4">
        <v>0</v>
      </c>
      <c r="D24" s="18"/>
    </row>
    <row r="25" spans="1:4" ht="15" customHeight="1">
      <c r="A25" s="4" t="s">
        <v>78</v>
      </c>
      <c r="B25" s="12">
        <f t="shared" si="3"/>
        <v>0</v>
      </c>
      <c r="C25" s="4">
        <v>0</v>
      </c>
      <c r="D25" s="18"/>
    </row>
    <row r="26" spans="1:4" ht="15" customHeight="1">
      <c r="A26" s="4" t="s">
        <v>79</v>
      </c>
      <c r="B26" s="12">
        <f t="shared" si="3"/>
        <v>0</v>
      </c>
      <c r="C26" s="4">
        <v>0</v>
      </c>
      <c r="D26" s="1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FA445-D726-4619-B997-3C196870FD69}">
  <dimension ref="A1:AK26"/>
  <sheetViews>
    <sheetView workbookViewId="0">
      <selection activeCell="E17" sqref="E17"/>
    </sheetView>
  </sheetViews>
  <sheetFormatPr defaultRowHeight="15" customHeight="1"/>
  <cols>
    <col min="1" max="1" width="21.28515625" style="12" customWidth="1"/>
    <col min="2" max="2" width="12.7109375" style="12" customWidth="1"/>
    <col min="3" max="3" width="13.7109375" style="12" customWidth="1"/>
    <col min="4" max="4" width="10.140625" style="12" customWidth="1"/>
    <col min="5" max="5" width="8.7109375" style="2"/>
    <col min="6" max="7" width="9.140625" style="44"/>
    <col min="8" max="8" width="8.7109375" style="24"/>
    <col min="9" max="37" width="9.140625" style="44"/>
  </cols>
  <sheetData>
    <row r="1" spans="1:37">
      <c r="A1" s="2" t="s">
        <v>94</v>
      </c>
      <c r="B1" s="2" t="s">
        <v>71</v>
      </c>
      <c r="C1" s="2" t="s">
        <v>95</v>
      </c>
      <c r="D1" s="2" t="s">
        <v>72</v>
      </c>
      <c r="E1" s="2" t="s">
        <v>11</v>
      </c>
      <c r="F1" s="42">
        <v>45659</v>
      </c>
      <c r="G1" s="42">
        <v>45661</v>
      </c>
      <c r="H1" s="23">
        <v>45663</v>
      </c>
      <c r="I1" s="42">
        <v>45665</v>
      </c>
      <c r="J1" s="42">
        <v>45666</v>
      </c>
      <c r="K1" s="42">
        <v>45669</v>
      </c>
      <c r="L1" s="42">
        <v>46040</v>
      </c>
      <c r="M1" s="42">
        <v>46041</v>
      </c>
      <c r="N1" s="42">
        <v>46043</v>
      </c>
      <c r="O1" s="42">
        <v>46045</v>
      </c>
      <c r="P1" s="42">
        <v>46048</v>
      </c>
      <c r="Q1" s="42">
        <v>46050</v>
      </c>
      <c r="R1" s="42">
        <v>46055</v>
      </c>
      <c r="S1" s="42">
        <v>46058</v>
      </c>
      <c r="T1" s="42">
        <v>46059</v>
      </c>
      <c r="U1" s="42">
        <v>46061</v>
      </c>
      <c r="V1" s="42">
        <v>46063</v>
      </c>
      <c r="W1" s="42">
        <v>46065</v>
      </c>
      <c r="X1" s="42">
        <v>46072</v>
      </c>
      <c r="Y1" s="42">
        <v>46073</v>
      </c>
      <c r="Z1" s="42">
        <v>46078</v>
      </c>
      <c r="AA1" s="42">
        <v>46079</v>
      </c>
      <c r="AB1" s="42">
        <v>46082</v>
      </c>
      <c r="AC1" s="42">
        <v>46085</v>
      </c>
      <c r="AD1" s="42">
        <v>46087</v>
      </c>
      <c r="AE1" s="42"/>
      <c r="AF1" s="42"/>
      <c r="AG1" s="42"/>
      <c r="AH1" s="42"/>
      <c r="AI1" s="42"/>
      <c r="AJ1" s="42"/>
      <c r="AK1" s="42"/>
    </row>
    <row r="2" spans="1:37">
      <c r="A2" s="12" t="s">
        <v>35</v>
      </c>
      <c r="B2" s="43">
        <f>C2+SUM(F2:AK2)</f>
        <v>558</v>
      </c>
      <c r="C2" s="12">
        <v>205</v>
      </c>
      <c r="D2" s="43">
        <f>C2+SUM(F2:AK2)</f>
        <v>558</v>
      </c>
      <c r="E2" s="12">
        <f>SUM(F2:AK2)</f>
        <v>353</v>
      </c>
      <c r="F2" s="44">
        <v>11</v>
      </c>
      <c r="G2" s="44">
        <v>22</v>
      </c>
      <c r="H2" s="24">
        <v>12</v>
      </c>
      <c r="I2" s="44">
        <v>15</v>
      </c>
      <c r="J2" s="44">
        <v>12</v>
      </c>
      <c r="K2" s="45"/>
      <c r="L2" s="44">
        <v>21</v>
      </c>
      <c r="M2" s="44">
        <v>8</v>
      </c>
      <c r="N2" s="44">
        <v>14</v>
      </c>
      <c r="O2" s="44">
        <v>16</v>
      </c>
      <c r="P2" s="44">
        <v>10</v>
      </c>
      <c r="Q2" s="44">
        <v>12</v>
      </c>
      <c r="R2" s="44">
        <v>8</v>
      </c>
      <c r="S2" s="44">
        <v>11</v>
      </c>
      <c r="T2" s="44">
        <v>12</v>
      </c>
      <c r="U2" s="44">
        <v>13</v>
      </c>
      <c r="V2" s="44">
        <v>20</v>
      </c>
      <c r="W2" s="44">
        <v>15</v>
      </c>
      <c r="X2" s="44">
        <v>11</v>
      </c>
      <c r="Y2" s="44">
        <v>10</v>
      </c>
      <c r="Z2" s="44">
        <v>19</v>
      </c>
      <c r="AA2" s="44">
        <v>29</v>
      </c>
      <c r="AB2" s="44">
        <v>15</v>
      </c>
      <c r="AC2" s="44">
        <v>17</v>
      </c>
      <c r="AD2" s="44">
        <v>20</v>
      </c>
    </row>
    <row r="3" spans="1:37">
      <c r="A3" s="12" t="s">
        <v>25</v>
      </c>
      <c r="B3" s="12">
        <f>C3+SUM(F3:AK3)</f>
        <v>237</v>
      </c>
      <c r="C3" s="12">
        <v>87</v>
      </c>
      <c r="D3" s="12">
        <f>C3+SUM(F3:AK3)</f>
        <v>237</v>
      </c>
      <c r="E3" s="12">
        <f>SUM(F3:AK3)</f>
        <v>150</v>
      </c>
      <c r="F3" s="44">
        <v>11</v>
      </c>
      <c r="G3" s="44">
        <v>7</v>
      </c>
      <c r="H3" s="24">
        <v>5</v>
      </c>
      <c r="I3" s="44">
        <v>8</v>
      </c>
      <c r="J3" s="44">
        <v>5</v>
      </c>
      <c r="K3" s="45"/>
      <c r="L3" s="44">
        <v>4</v>
      </c>
      <c r="M3" s="44">
        <v>3</v>
      </c>
      <c r="N3" s="44">
        <v>15</v>
      </c>
      <c r="O3" s="44">
        <v>4</v>
      </c>
      <c r="P3" s="44">
        <v>5</v>
      </c>
      <c r="Q3" s="44">
        <v>9</v>
      </c>
      <c r="R3" s="44">
        <v>2</v>
      </c>
      <c r="S3" s="44">
        <v>3</v>
      </c>
      <c r="T3" s="44">
        <v>5</v>
      </c>
      <c r="U3" s="44">
        <v>3</v>
      </c>
      <c r="V3" s="44">
        <v>6</v>
      </c>
      <c r="W3" s="44">
        <v>4</v>
      </c>
      <c r="X3" s="44">
        <v>4</v>
      </c>
      <c r="Y3" s="44">
        <v>10</v>
      </c>
      <c r="Z3" s="44">
        <v>8</v>
      </c>
      <c r="AA3" s="44">
        <v>7</v>
      </c>
      <c r="AB3" s="44">
        <v>10</v>
      </c>
      <c r="AC3" s="44">
        <v>7</v>
      </c>
      <c r="AD3" s="44">
        <v>5</v>
      </c>
    </row>
    <row r="4" spans="1:37">
      <c r="A4" s="12" t="s">
        <v>27</v>
      </c>
      <c r="B4" s="12">
        <f>C4+SUM(F4:AK4)</f>
        <v>78</v>
      </c>
      <c r="C4" s="12">
        <v>30</v>
      </c>
      <c r="D4" s="12">
        <f>C4+SUM(F4:AK4)</f>
        <v>78</v>
      </c>
      <c r="E4" s="12">
        <f>SUM(F4:AK4)</f>
        <v>48</v>
      </c>
      <c r="F4" s="44">
        <v>4</v>
      </c>
      <c r="G4" s="44">
        <v>2</v>
      </c>
      <c r="H4" s="24">
        <v>3</v>
      </c>
      <c r="I4" s="44">
        <v>0</v>
      </c>
      <c r="J4" s="44">
        <v>1</v>
      </c>
      <c r="K4" s="45"/>
      <c r="L4" s="44">
        <v>1</v>
      </c>
      <c r="M4" s="44">
        <v>2</v>
      </c>
      <c r="N4" s="44">
        <v>3</v>
      </c>
      <c r="O4" s="44">
        <v>3</v>
      </c>
      <c r="P4" s="44">
        <v>2</v>
      </c>
      <c r="Q4" s="44">
        <v>0</v>
      </c>
      <c r="R4" s="44">
        <v>0</v>
      </c>
      <c r="S4" s="44">
        <v>4</v>
      </c>
      <c r="T4" s="44">
        <v>2</v>
      </c>
      <c r="U4" s="44">
        <v>1</v>
      </c>
      <c r="V4" s="44">
        <v>1</v>
      </c>
      <c r="W4" s="44">
        <v>1</v>
      </c>
      <c r="X4" s="44">
        <v>3</v>
      </c>
      <c r="Y4" s="44">
        <v>1</v>
      </c>
      <c r="Z4" s="44">
        <v>1</v>
      </c>
      <c r="AA4" s="44">
        <v>1</v>
      </c>
      <c r="AB4" s="44">
        <v>3</v>
      </c>
      <c r="AC4" s="44">
        <v>4</v>
      </c>
      <c r="AD4" s="44">
        <v>5</v>
      </c>
    </row>
    <row r="5" spans="1:37">
      <c r="A5" s="12" t="s">
        <v>12</v>
      </c>
      <c r="B5" s="12">
        <f>C5+SUM(F5:AK5)</f>
        <v>60</v>
      </c>
      <c r="C5" s="12">
        <v>23</v>
      </c>
      <c r="D5" s="12">
        <f>C5+SUM(F5:AK5)</f>
        <v>60</v>
      </c>
      <c r="E5" s="12">
        <f>SUM(F5:AK5)</f>
        <v>37</v>
      </c>
      <c r="F5" s="44">
        <v>2</v>
      </c>
      <c r="G5" s="44">
        <v>3</v>
      </c>
      <c r="H5" s="24">
        <v>3</v>
      </c>
      <c r="I5" s="44">
        <v>3</v>
      </c>
      <c r="J5" s="44">
        <v>0</v>
      </c>
      <c r="K5" s="45"/>
      <c r="L5" s="44">
        <v>0</v>
      </c>
      <c r="M5" s="44">
        <v>2</v>
      </c>
      <c r="N5" s="44">
        <v>0</v>
      </c>
      <c r="O5" s="44">
        <v>0</v>
      </c>
      <c r="P5" s="44">
        <v>4</v>
      </c>
      <c r="Q5" s="44">
        <v>2</v>
      </c>
      <c r="R5" s="44">
        <v>2</v>
      </c>
      <c r="S5" s="44">
        <v>1</v>
      </c>
      <c r="T5" s="44">
        <v>1</v>
      </c>
      <c r="U5" s="44">
        <v>3</v>
      </c>
      <c r="V5" s="44">
        <v>2</v>
      </c>
      <c r="W5" s="44">
        <v>1</v>
      </c>
      <c r="X5" s="44">
        <v>1</v>
      </c>
      <c r="Y5" s="44">
        <v>1</v>
      </c>
      <c r="Z5" s="44">
        <v>3</v>
      </c>
      <c r="AA5" s="44">
        <v>0</v>
      </c>
      <c r="AB5" s="44">
        <v>0</v>
      </c>
      <c r="AC5" s="44">
        <v>2</v>
      </c>
      <c r="AD5" s="44">
        <v>1</v>
      </c>
    </row>
    <row r="6" spans="1:37">
      <c r="A6" s="12" t="s">
        <v>21</v>
      </c>
      <c r="B6" s="12">
        <f>C6+SUM(F6:AK6)</f>
        <v>41</v>
      </c>
      <c r="C6" s="12">
        <v>18</v>
      </c>
      <c r="D6" s="12">
        <f>C6+SUM(F6:AK6)</f>
        <v>41</v>
      </c>
      <c r="E6" s="12">
        <f>SUM(F6:AK6)</f>
        <v>23</v>
      </c>
      <c r="F6" s="44">
        <v>3</v>
      </c>
      <c r="G6" s="44">
        <v>0</v>
      </c>
      <c r="H6" s="24">
        <v>0</v>
      </c>
      <c r="I6" s="44">
        <v>1</v>
      </c>
      <c r="J6" s="44">
        <v>1</v>
      </c>
      <c r="K6" s="45"/>
      <c r="L6" s="44">
        <v>1</v>
      </c>
      <c r="M6" s="44">
        <v>1</v>
      </c>
      <c r="N6" s="44">
        <v>1</v>
      </c>
      <c r="O6" s="44">
        <v>0</v>
      </c>
      <c r="P6" s="44">
        <v>1</v>
      </c>
      <c r="Q6" s="44">
        <v>1</v>
      </c>
      <c r="R6" s="44">
        <v>0</v>
      </c>
      <c r="S6" s="44">
        <v>2</v>
      </c>
      <c r="T6" s="44">
        <v>1</v>
      </c>
      <c r="U6" s="44">
        <v>1</v>
      </c>
      <c r="V6" s="44">
        <v>2</v>
      </c>
      <c r="W6" s="44">
        <v>2</v>
      </c>
      <c r="X6" s="44">
        <v>0</v>
      </c>
      <c r="Y6" s="44">
        <v>0</v>
      </c>
      <c r="Z6" s="44">
        <v>2</v>
      </c>
      <c r="AA6" s="44">
        <v>2</v>
      </c>
      <c r="AB6" s="44">
        <v>0</v>
      </c>
      <c r="AC6" s="44">
        <v>0</v>
      </c>
      <c r="AD6" s="44">
        <v>1</v>
      </c>
    </row>
    <row r="7" spans="1:37">
      <c r="A7" s="12" t="s">
        <v>73</v>
      </c>
      <c r="B7" s="12">
        <f>C7+SUM(F7:AK7)</f>
        <v>206</v>
      </c>
      <c r="C7" s="12">
        <v>81</v>
      </c>
      <c r="D7" s="12">
        <f>C7+SUM(F7:AK7)</f>
        <v>206</v>
      </c>
      <c r="E7" s="12">
        <f>SUM(F7:AK7)</f>
        <v>125</v>
      </c>
      <c r="F7" s="44">
        <v>3</v>
      </c>
      <c r="G7" s="44">
        <v>8</v>
      </c>
      <c r="H7" s="24">
        <v>4</v>
      </c>
      <c r="I7" s="44">
        <v>4</v>
      </c>
      <c r="J7" s="44">
        <v>5</v>
      </c>
      <c r="K7" s="45"/>
      <c r="L7" s="44">
        <v>9</v>
      </c>
      <c r="M7" s="44">
        <v>2</v>
      </c>
      <c r="N7" s="44">
        <v>6</v>
      </c>
      <c r="O7" s="44">
        <v>5</v>
      </c>
      <c r="P7" s="44">
        <v>3</v>
      </c>
      <c r="Q7" s="44">
        <v>4</v>
      </c>
      <c r="R7" s="44">
        <v>3</v>
      </c>
      <c r="S7" s="44">
        <v>4</v>
      </c>
      <c r="T7" s="44">
        <v>2</v>
      </c>
      <c r="U7" s="44">
        <v>5</v>
      </c>
      <c r="V7" s="44">
        <v>7</v>
      </c>
      <c r="W7" s="44">
        <v>5</v>
      </c>
      <c r="X7" s="44">
        <v>5</v>
      </c>
      <c r="Y7" s="44">
        <v>5</v>
      </c>
      <c r="Z7" s="44">
        <v>8</v>
      </c>
      <c r="AA7" s="44">
        <v>10</v>
      </c>
      <c r="AB7" s="44">
        <v>4</v>
      </c>
      <c r="AC7" s="44">
        <v>8</v>
      </c>
      <c r="AD7" s="44">
        <v>6</v>
      </c>
    </row>
    <row r="8" spans="1:37">
      <c r="A8" s="12" t="s">
        <v>38</v>
      </c>
      <c r="B8" s="12">
        <f>C8+SUM(F8:AK8)</f>
        <v>34</v>
      </c>
      <c r="C8" s="12">
        <v>12</v>
      </c>
      <c r="D8" s="12">
        <f>C8+SUM(F8:AK8)</f>
        <v>34</v>
      </c>
      <c r="E8" s="12">
        <f>SUM(F8:AK8)</f>
        <v>22</v>
      </c>
      <c r="F8" s="44">
        <v>0</v>
      </c>
      <c r="G8" s="44">
        <v>3</v>
      </c>
      <c r="H8" s="24">
        <v>0</v>
      </c>
      <c r="I8" s="44">
        <v>1</v>
      </c>
      <c r="J8" s="44">
        <v>0</v>
      </c>
      <c r="K8" s="45"/>
      <c r="L8" s="44">
        <v>1</v>
      </c>
      <c r="M8" s="44">
        <v>0</v>
      </c>
      <c r="N8" s="44">
        <v>1</v>
      </c>
      <c r="O8" s="44">
        <v>2</v>
      </c>
      <c r="P8" s="44">
        <v>1</v>
      </c>
      <c r="Q8" s="44">
        <v>1</v>
      </c>
      <c r="R8" s="44">
        <v>2</v>
      </c>
      <c r="S8" s="44">
        <v>1</v>
      </c>
      <c r="T8" s="44">
        <v>0</v>
      </c>
      <c r="U8" s="44">
        <v>0</v>
      </c>
      <c r="V8" s="44">
        <v>1</v>
      </c>
      <c r="W8" s="44">
        <v>1</v>
      </c>
      <c r="X8" s="44">
        <v>1</v>
      </c>
      <c r="Y8" s="44">
        <v>0</v>
      </c>
      <c r="Z8" s="44">
        <v>1</v>
      </c>
      <c r="AA8" s="44">
        <v>3</v>
      </c>
      <c r="AB8" s="44">
        <v>1</v>
      </c>
      <c r="AC8" s="44">
        <v>1</v>
      </c>
      <c r="AD8" s="44">
        <v>0</v>
      </c>
    </row>
    <row r="9" spans="1:37">
      <c r="A9" s="12" t="s">
        <v>74</v>
      </c>
      <c r="B9" s="12">
        <f>C9+SUM(F9:AK9)</f>
        <v>6</v>
      </c>
      <c r="C9" s="12">
        <v>2</v>
      </c>
      <c r="D9" s="12">
        <f>C9+SUM(F9:AK9)</f>
        <v>6</v>
      </c>
      <c r="E9" s="12">
        <f>SUM(F9:AK9)</f>
        <v>4</v>
      </c>
      <c r="F9" s="44">
        <v>1</v>
      </c>
      <c r="G9" s="44">
        <v>0</v>
      </c>
      <c r="H9" s="24">
        <v>0</v>
      </c>
      <c r="I9" s="44">
        <v>0</v>
      </c>
      <c r="J9" s="44">
        <v>0</v>
      </c>
      <c r="K9" s="45"/>
      <c r="L9" s="44">
        <v>0</v>
      </c>
      <c r="M9" s="44">
        <v>0</v>
      </c>
      <c r="N9" s="44">
        <v>1</v>
      </c>
      <c r="O9" s="44">
        <v>0</v>
      </c>
      <c r="P9" s="44">
        <v>0</v>
      </c>
      <c r="Q9" s="44">
        <v>0</v>
      </c>
      <c r="R9" s="44">
        <v>0</v>
      </c>
      <c r="S9" s="44">
        <v>0</v>
      </c>
      <c r="T9" s="44">
        <v>0</v>
      </c>
      <c r="U9" s="44">
        <v>0</v>
      </c>
      <c r="V9" s="44">
        <v>0</v>
      </c>
      <c r="W9" s="44">
        <v>0</v>
      </c>
      <c r="X9" s="44">
        <v>0</v>
      </c>
      <c r="Y9" s="44">
        <v>1</v>
      </c>
      <c r="Z9" s="44">
        <v>0</v>
      </c>
      <c r="AA9" s="44">
        <v>0</v>
      </c>
      <c r="AB9" s="44">
        <v>1</v>
      </c>
      <c r="AC9" s="44">
        <v>0</v>
      </c>
      <c r="AD9" s="44">
        <v>0</v>
      </c>
    </row>
    <row r="10" spans="1:37">
      <c r="A10" s="12" t="s">
        <v>75</v>
      </c>
      <c r="B10" s="43">
        <f>C10+SUM(F10:AK10)</f>
        <v>1048.31</v>
      </c>
      <c r="C10" s="46">
        <v>408</v>
      </c>
      <c r="D10" s="46">
        <f>C10+SUM(F10:AK10)</f>
        <v>1048.31</v>
      </c>
      <c r="E10" s="12">
        <f>SUM(F10:AK10)</f>
        <v>640.30999999999995</v>
      </c>
      <c r="F10" s="44">
        <v>34.270000000000003</v>
      </c>
      <c r="G10" s="44">
        <v>27.52</v>
      </c>
      <c r="H10" s="24">
        <v>31.42</v>
      </c>
      <c r="I10" s="44">
        <v>39.39</v>
      </c>
      <c r="J10" s="44">
        <v>23.45</v>
      </c>
      <c r="K10" s="45"/>
      <c r="L10" s="44">
        <v>23.25</v>
      </c>
      <c r="M10" s="44">
        <v>23.56</v>
      </c>
      <c r="N10" s="44">
        <v>27.13</v>
      </c>
      <c r="O10" s="44">
        <v>20.059999999999999</v>
      </c>
      <c r="P10" s="44">
        <v>30.32</v>
      </c>
      <c r="Q10" s="44">
        <v>24.51</v>
      </c>
      <c r="R10" s="44">
        <v>19.440000000000001</v>
      </c>
      <c r="S10" s="44">
        <v>21.36</v>
      </c>
      <c r="T10" s="44">
        <v>24.37</v>
      </c>
      <c r="U10" s="44">
        <v>16.36</v>
      </c>
      <c r="V10" s="44">
        <v>30.51</v>
      </c>
      <c r="W10" s="44">
        <v>25.06</v>
      </c>
      <c r="X10" s="44">
        <v>23.55</v>
      </c>
      <c r="Y10" s="44">
        <v>29.36</v>
      </c>
      <c r="Z10" s="44">
        <v>30.27</v>
      </c>
      <c r="AA10" s="44">
        <v>28.3</v>
      </c>
      <c r="AB10" s="44">
        <v>29.14</v>
      </c>
      <c r="AC10" s="44">
        <v>27.16</v>
      </c>
      <c r="AD10" s="44">
        <v>30.55</v>
      </c>
    </row>
    <row r="11" spans="1:37">
      <c r="A11" s="12" t="s">
        <v>78</v>
      </c>
      <c r="B11" s="43">
        <f>C11+SUM(F11:AK11)</f>
        <v>67</v>
      </c>
      <c r="C11" s="43">
        <v>19</v>
      </c>
      <c r="D11" s="43">
        <f>C11+SUM(F11:AK11)</f>
        <v>67</v>
      </c>
      <c r="E11" s="12">
        <f>SUM(F11:AK11)</f>
        <v>48</v>
      </c>
      <c r="F11" s="44">
        <v>3</v>
      </c>
      <c r="G11" s="44">
        <v>3</v>
      </c>
      <c r="H11" s="24">
        <v>2</v>
      </c>
      <c r="I11" s="44">
        <v>3</v>
      </c>
      <c r="J11" s="44">
        <v>1</v>
      </c>
      <c r="K11" s="45"/>
      <c r="L11" s="44">
        <v>2</v>
      </c>
      <c r="M11" s="44">
        <v>2</v>
      </c>
      <c r="N11" s="44">
        <v>1</v>
      </c>
      <c r="O11" s="44">
        <v>2</v>
      </c>
      <c r="P11" s="44">
        <v>2</v>
      </c>
      <c r="Q11" s="44">
        <v>2</v>
      </c>
      <c r="R11" s="44">
        <v>0</v>
      </c>
      <c r="S11" s="44">
        <v>1</v>
      </c>
      <c r="T11" s="44">
        <v>5</v>
      </c>
      <c r="U11" s="44">
        <v>2</v>
      </c>
      <c r="V11" s="44">
        <v>3</v>
      </c>
      <c r="W11" s="44">
        <v>2</v>
      </c>
      <c r="X11" s="44">
        <v>0</v>
      </c>
      <c r="Y11" s="44">
        <v>0</v>
      </c>
      <c r="Z11" s="44">
        <v>1</v>
      </c>
      <c r="AA11" s="44">
        <v>3</v>
      </c>
      <c r="AB11" s="44">
        <v>3</v>
      </c>
      <c r="AC11" s="44">
        <v>0</v>
      </c>
      <c r="AD11" s="44">
        <v>5</v>
      </c>
    </row>
    <row r="12" spans="1:37">
      <c r="A12" s="12" t="s">
        <v>79</v>
      </c>
      <c r="B12" s="43">
        <f>C12+SUM(F12:AK12)</f>
        <v>40</v>
      </c>
      <c r="C12" s="43">
        <v>16</v>
      </c>
      <c r="D12" s="43">
        <f>C12+SUM(F12:AK12)</f>
        <v>40</v>
      </c>
      <c r="E12" s="12">
        <f>SUM(F12:AK12)</f>
        <v>24</v>
      </c>
      <c r="F12" s="44">
        <v>1</v>
      </c>
      <c r="G12" s="44">
        <v>1</v>
      </c>
      <c r="H12" s="24">
        <v>1</v>
      </c>
      <c r="I12" s="44">
        <v>1</v>
      </c>
      <c r="J12" s="44">
        <v>1</v>
      </c>
      <c r="K12" s="45"/>
      <c r="L12" s="44">
        <v>1</v>
      </c>
      <c r="M12" s="44">
        <v>1</v>
      </c>
      <c r="N12" s="44">
        <v>1</v>
      </c>
      <c r="O12" s="44">
        <v>1</v>
      </c>
      <c r="P12" s="44">
        <v>1</v>
      </c>
      <c r="Q12" s="44">
        <v>1</v>
      </c>
      <c r="R12" s="44">
        <v>1</v>
      </c>
      <c r="S12" s="44">
        <v>1</v>
      </c>
      <c r="T12" s="44">
        <v>1</v>
      </c>
      <c r="U12" s="44">
        <v>1</v>
      </c>
      <c r="V12" s="44">
        <v>1</v>
      </c>
      <c r="W12" s="44">
        <v>1</v>
      </c>
      <c r="X12" s="44">
        <v>1</v>
      </c>
      <c r="Y12" s="44">
        <v>1</v>
      </c>
      <c r="Z12" s="44">
        <v>1</v>
      </c>
      <c r="AA12" s="44">
        <v>1</v>
      </c>
      <c r="AB12" s="44">
        <v>1</v>
      </c>
      <c r="AC12" s="44">
        <v>1</v>
      </c>
      <c r="AD12" s="44">
        <v>1</v>
      </c>
    </row>
    <row r="15" spans="1:37" ht="15" customHeight="1">
      <c r="A15" s="3" t="s">
        <v>68</v>
      </c>
      <c r="B15" s="2" t="s">
        <v>71</v>
      </c>
      <c r="C15" s="2" t="s">
        <v>72</v>
      </c>
      <c r="D15" s="13">
        <v>46113</v>
      </c>
    </row>
    <row r="16" spans="1:37" ht="15" customHeight="1">
      <c r="A16" s="4" t="s">
        <v>35</v>
      </c>
      <c r="B16" s="12">
        <f>SUM(D16:BA16)</f>
        <v>22</v>
      </c>
      <c r="C16" s="12">
        <v>22</v>
      </c>
      <c r="D16" s="12">
        <v>22</v>
      </c>
    </row>
    <row r="17" spans="1:4" ht="15" customHeight="1">
      <c r="A17" s="4" t="s">
        <v>25</v>
      </c>
      <c r="B17" s="12">
        <f t="shared" ref="B17:B26" si="0">SUM(D17:BA17)</f>
        <v>6</v>
      </c>
      <c r="C17" s="12">
        <v>6</v>
      </c>
      <c r="D17" s="12">
        <v>6</v>
      </c>
    </row>
    <row r="18" spans="1:4" ht="15" customHeight="1">
      <c r="A18" s="4" t="s">
        <v>27</v>
      </c>
      <c r="B18" s="12">
        <f t="shared" si="0"/>
        <v>1</v>
      </c>
      <c r="C18" s="12">
        <v>1</v>
      </c>
      <c r="D18" s="12">
        <v>1</v>
      </c>
    </row>
    <row r="19" spans="1:4" ht="15" customHeight="1">
      <c r="A19" s="4" t="s">
        <v>12</v>
      </c>
      <c r="B19" s="12">
        <f t="shared" si="0"/>
        <v>1</v>
      </c>
      <c r="C19" s="12">
        <v>1</v>
      </c>
      <c r="D19" s="12">
        <v>1</v>
      </c>
    </row>
    <row r="20" spans="1:4" ht="15" customHeight="1">
      <c r="A20" s="4" t="s">
        <v>21</v>
      </c>
      <c r="B20" s="12">
        <f t="shared" si="0"/>
        <v>1</v>
      </c>
      <c r="C20" s="12">
        <v>1</v>
      </c>
      <c r="D20" s="12">
        <v>1</v>
      </c>
    </row>
    <row r="21" spans="1:4" ht="15" customHeight="1">
      <c r="A21" s="4" t="s">
        <v>73</v>
      </c>
      <c r="B21" s="12">
        <f t="shared" si="0"/>
        <v>8</v>
      </c>
      <c r="C21" s="12">
        <v>8</v>
      </c>
      <c r="D21" s="12">
        <v>8</v>
      </c>
    </row>
    <row r="22" spans="1:4" ht="15" customHeight="1">
      <c r="A22" s="4" t="s">
        <v>38</v>
      </c>
      <c r="B22" s="12">
        <f t="shared" si="0"/>
        <v>0</v>
      </c>
      <c r="C22" s="12">
        <v>0</v>
      </c>
      <c r="D22" s="12">
        <v>0</v>
      </c>
    </row>
    <row r="23" spans="1:4" ht="15" customHeight="1">
      <c r="A23" s="4" t="s">
        <v>74</v>
      </c>
      <c r="B23" s="12">
        <f t="shared" si="0"/>
        <v>0</v>
      </c>
      <c r="C23" s="12">
        <v>0</v>
      </c>
      <c r="D23" s="12">
        <v>0</v>
      </c>
    </row>
    <row r="24" spans="1:4" ht="15" customHeight="1">
      <c r="A24" s="4" t="s">
        <v>75</v>
      </c>
      <c r="B24" s="12">
        <f t="shared" si="0"/>
        <v>32.299999999999997</v>
      </c>
      <c r="C24" s="12">
        <v>32.299999999999997</v>
      </c>
      <c r="D24" s="12">
        <v>32.299999999999997</v>
      </c>
    </row>
    <row r="25" spans="1:4" ht="15" customHeight="1">
      <c r="A25" s="4" t="s">
        <v>78</v>
      </c>
      <c r="B25" s="12">
        <f t="shared" si="0"/>
        <v>3</v>
      </c>
      <c r="C25" s="12">
        <v>3</v>
      </c>
      <c r="D25" s="12">
        <v>3</v>
      </c>
    </row>
    <row r="26" spans="1:4" ht="15" customHeight="1">
      <c r="A26" s="4" t="s">
        <v>79</v>
      </c>
      <c r="B26" s="12">
        <f t="shared" si="0"/>
        <v>1</v>
      </c>
      <c r="C26" s="12">
        <v>1</v>
      </c>
      <c r="D26" s="12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D03B0-D848-4806-974B-9B2F0299C86A}">
  <dimension ref="A1:AS26"/>
  <sheetViews>
    <sheetView zoomScale="90" zoomScaleNormal="90" workbookViewId="0">
      <selection activeCell="F21" sqref="F21"/>
    </sheetView>
  </sheetViews>
  <sheetFormatPr defaultRowHeight="14.45"/>
  <cols>
    <col min="1" max="1" width="21.28515625" style="4" customWidth="1"/>
    <col min="2" max="3" width="12.7109375" style="4" customWidth="1"/>
    <col min="4" max="4" width="8.7109375" style="3"/>
    <col min="7" max="7" width="8.7109375" style="25"/>
  </cols>
  <sheetData>
    <row r="1" spans="1:45">
      <c r="A1" s="3" t="s">
        <v>96</v>
      </c>
      <c r="B1" s="3" t="s">
        <v>71</v>
      </c>
      <c r="C1" s="3" t="s">
        <v>81</v>
      </c>
      <c r="D1" s="3" t="s">
        <v>11</v>
      </c>
      <c r="E1" s="6">
        <v>45996</v>
      </c>
      <c r="F1" s="6">
        <v>45997</v>
      </c>
      <c r="G1" s="26">
        <v>46000</v>
      </c>
      <c r="H1" s="6">
        <v>46001</v>
      </c>
      <c r="I1" s="6">
        <v>46003</v>
      </c>
      <c r="J1" s="6">
        <v>46011</v>
      </c>
      <c r="K1" s="6">
        <v>46013</v>
      </c>
      <c r="L1" s="6">
        <v>46019</v>
      </c>
      <c r="M1" s="6">
        <v>45659</v>
      </c>
      <c r="N1" s="6">
        <v>45661</v>
      </c>
      <c r="O1" s="6">
        <v>45663</v>
      </c>
      <c r="P1" s="6">
        <v>45665</v>
      </c>
      <c r="Q1" s="6">
        <v>45666</v>
      </c>
      <c r="R1" s="6">
        <v>45669</v>
      </c>
      <c r="S1" s="6">
        <v>45671</v>
      </c>
      <c r="T1" s="6">
        <v>46040</v>
      </c>
      <c r="U1" s="6">
        <v>46041</v>
      </c>
      <c r="V1" s="6">
        <v>46043</v>
      </c>
      <c r="W1" s="6">
        <v>46045</v>
      </c>
      <c r="X1" s="6">
        <v>46048</v>
      </c>
      <c r="Y1" s="6">
        <v>46050</v>
      </c>
      <c r="Z1" s="6">
        <v>46055</v>
      </c>
      <c r="AA1" s="6">
        <v>46058</v>
      </c>
      <c r="AB1" s="6">
        <v>46059</v>
      </c>
      <c r="AC1" s="6">
        <v>46061</v>
      </c>
      <c r="AD1" s="6">
        <v>46063</v>
      </c>
      <c r="AE1" s="6">
        <v>46065</v>
      </c>
      <c r="AF1" s="6">
        <v>46072</v>
      </c>
      <c r="AG1" s="6">
        <v>46073</v>
      </c>
      <c r="AH1" s="6">
        <v>46078</v>
      </c>
      <c r="AI1" s="6">
        <v>46079</v>
      </c>
      <c r="AJ1" s="6">
        <v>46082</v>
      </c>
      <c r="AK1" s="6">
        <v>46085</v>
      </c>
      <c r="AL1" s="6">
        <v>46087</v>
      </c>
      <c r="AM1" s="6"/>
      <c r="AN1" s="6"/>
      <c r="AO1" s="6"/>
      <c r="AP1" s="6"/>
      <c r="AQ1" s="6"/>
      <c r="AR1" s="6"/>
      <c r="AS1" s="6"/>
    </row>
    <row r="2" spans="1:45">
      <c r="A2" s="4" t="s">
        <v>35</v>
      </c>
      <c r="B2" s="5">
        <f>C2+SUM(E2:AS2)</f>
        <v>1508</v>
      </c>
      <c r="C2" s="5">
        <v>1052</v>
      </c>
      <c r="D2" s="4">
        <f>SUM(E2:AS2)</f>
        <v>456</v>
      </c>
      <c r="E2">
        <v>17</v>
      </c>
      <c r="F2">
        <v>21</v>
      </c>
      <c r="G2" s="25">
        <v>13</v>
      </c>
      <c r="H2" s="19"/>
      <c r="I2" s="19"/>
      <c r="J2">
        <v>17</v>
      </c>
      <c r="K2">
        <v>25</v>
      </c>
      <c r="L2">
        <v>24</v>
      </c>
      <c r="M2" s="19"/>
      <c r="N2">
        <v>26</v>
      </c>
      <c r="O2">
        <v>10</v>
      </c>
      <c r="P2" s="19"/>
      <c r="Q2" s="19"/>
      <c r="R2" s="19"/>
      <c r="S2">
        <v>17</v>
      </c>
      <c r="T2">
        <v>12</v>
      </c>
      <c r="U2">
        <v>18</v>
      </c>
      <c r="V2">
        <v>25</v>
      </c>
      <c r="W2">
        <v>8</v>
      </c>
      <c r="X2" s="19"/>
      <c r="Y2" s="19"/>
      <c r="Z2">
        <v>14</v>
      </c>
      <c r="AA2">
        <v>30</v>
      </c>
      <c r="AB2">
        <v>32</v>
      </c>
      <c r="AC2">
        <v>19</v>
      </c>
      <c r="AD2">
        <v>9</v>
      </c>
      <c r="AE2">
        <v>13</v>
      </c>
      <c r="AF2">
        <v>8</v>
      </c>
      <c r="AG2">
        <v>14</v>
      </c>
      <c r="AH2">
        <v>13</v>
      </c>
      <c r="AI2">
        <v>4</v>
      </c>
      <c r="AJ2">
        <v>14</v>
      </c>
      <c r="AK2">
        <v>17</v>
      </c>
      <c r="AL2">
        <v>36</v>
      </c>
    </row>
    <row r="3" spans="1:45">
      <c r="A3" s="4" t="s">
        <v>25</v>
      </c>
      <c r="B3" s="4">
        <f>C3+SUM(E3:AS3)</f>
        <v>682</v>
      </c>
      <c r="C3" s="4">
        <v>459</v>
      </c>
      <c r="D3" s="4">
        <f>SUM(E3:AS3)</f>
        <v>223</v>
      </c>
      <c r="E3">
        <v>11</v>
      </c>
      <c r="F3">
        <v>13</v>
      </c>
      <c r="G3" s="25">
        <v>10</v>
      </c>
      <c r="H3" s="19"/>
      <c r="I3" s="19"/>
      <c r="J3">
        <v>9</v>
      </c>
      <c r="K3">
        <v>14</v>
      </c>
      <c r="L3">
        <v>9</v>
      </c>
      <c r="M3" s="19"/>
      <c r="N3">
        <v>8</v>
      </c>
      <c r="O3">
        <v>2</v>
      </c>
      <c r="P3" s="19"/>
      <c r="Q3" s="19"/>
      <c r="R3" s="19"/>
      <c r="S3">
        <v>9</v>
      </c>
      <c r="T3">
        <v>5</v>
      </c>
      <c r="U3">
        <v>7</v>
      </c>
      <c r="V3">
        <v>9</v>
      </c>
      <c r="W3">
        <v>11</v>
      </c>
      <c r="X3" s="19"/>
      <c r="Y3" s="19"/>
      <c r="Z3">
        <v>3</v>
      </c>
      <c r="AA3">
        <v>6</v>
      </c>
      <c r="AB3">
        <v>10</v>
      </c>
      <c r="AC3">
        <v>3</v>
      </c>
      <c r="AD3">
        <v>5</v>
      </c>
      <c r="AE3">
        <v>12</v>
      </c>
      <c r="AF3">
        <v>10</v>
      </c>
      <c r="AG3">
        <v>8</v>
      </c>
      <c r="AH3">
        <v>9</v>
      </c>
      <c r="AI3">
        <v>9</v>
      </c>
      <c r="AJ3">
        <v>9</v>
      </c>
      <c r="AK3">
        <v>9</v>
      </c>
      <c r="AL3">
        <v>13</v>
      </c>
    </row>
    <row r="4" spans="1:45">
      <c r="A4" s="4" t="s">
        <v>27</v>
      </c>
      <c r="B4" s="4">
        <f>C4+SUM(E4:AS4)</f>
        <v>175</v>
      </c>
      <c r="C4" s="4">
        <v>130</v>
      </c>
      <c r="D4" s="4">
        <f>SUM(E4:AS4)</f>
        <v>45</v>
      </c>
      <c r="E4">
        <v>2</v>
      </c>
      <c r="F4">
        <v>2</v>
      </c>
      <c r="G4" s="25">
        <v>1</v>
      </c>
      <c r="H4" s="19"/>
      <c r="I4" s="19"/>
      <c r="J4">
        <v>3</v>
      </c>
      <c r="K4">
        <v>1</v>
      </c>
      <c r="L4">
        <v>2</v>
      </c>
      <c r="M4" s="19"/>
      <c r="N4">
        <v>3</v>
      </c>
      <c r="O4">
        <v>1</v>
      </c>
      <c r="P4" s="19"/>
      <c r="Q4" s="19"/>
      <c r="R4" s="19"/>
      <c r="S4">
        <v>2</v>
      </c>
      <c r="T4">
        <v>2</v>
      </c>
      <c r="U4">
        <v>1</v>
      </c>
      <c r="V4">
        <v>1</v>
      </c>
      <c r="W4">
        <v>1</v>
      </c>
      <c r="X4" s="19"/>
      <c r="Y4" s="19"/>
      <c r="Z4">
        <v>1</v>
      </c>
      <c r="AA4">
        <v>3</v>
      </c>
      <c r="AB4">
        <v>2</v>
      </c>
      <c r="AC4">
        <v>0</v>
      </c>
      <c r="AD4">
        <v>1</v>
      </c>
      <c r="AE4">
        <v>2</v>
      </c>
      <c r="AF4">
        <v>3</v>
      </c>
      <c r="AG4">
        <v>1</v>
      </c>
      <c r="AH4">
        <v>4</v>
      </c>
      <c r="AI4">
        <v>4</v>
      </c>
      <c r="AJ4">
        <v>0</v>
      </c>
      <c r="AK4">
        <v>1</v>
      </c>
      <c r="AL4">
        <v>1</v>
      </c>
    </row>
    <row r="5" spans="1:45">
      <c r="A5" s="4" t="s">
        <v>12</v>
      </c>
      <c r="B5" s="4">
        <f>C5+SUM(E5:AS5)</f>
        <v>64</v>
      </c>
      <c r="C5" s="4">
        <v>43</v>
      </c>
      <c r="D5" s="4">
        <f>SUM(E5:AS5)</f>
        <v>21</v>
      </c>
      <c r="E5">
        <v>1</v>
      </c>
      <c r="F5">
        <v>1</v>
      </c>
      <c r="G5" s="25">
        <v>0</v>
      </c>
      <c r="H5" s="19"/>
      <c r="I5" s="19"/>
      <c r="J5">
        <v>3</v>
      </c>
      <c r="K5">
        <v>3</v>
      </c>
      <c r="L5">
        <v>1</v>
      </c>
      <c r="M5" s="19"/>
      <c r="N5">
        <v>0</v>
      </c>
      <c r="O5">
        <v>0</v>
      </c>
      <c r="P5" s="19"/>
      <c r="Q5" s="19"/>
      <c r="R5" s="19"/>
      <c r="S5">
        <v>3</v>
      </c>
      <c r="T5">
        <v>1</v>
      </c>
      <c r="U5">
        <v>2</v>
      </c>
      <c r="V5">
        <v>1</v>
      </c>
      <c r="W5">
        <v>0</v>
      </c>
      <c r="X5" s="19"/>
      <c r="Y5" s="19"/>
      <c r="Z5">
        <v>1</v>
      </c>
      <c r="AA5">
        <v>0</v>
      </c>
      <c r="AB5">
        <v>0</v>
      </c>
      <c r="AC5">
        <v>0</v>
      </c>
      <c r="AD5">
        <v>1</v>
      </c>
      <c r="AE5">
        <v>1</v>
      </c>
      <c r="AF5">
        <v>0</v>
      </c>
      <c r="AG5">
        <v>1</v>
      </c>
      <c r="AH5">
        <v>1</v>
      </c>
      <c r="AI5">
        <v>0</v>
      </c>
      <c r="AJ5">
        <v>0</v>
      </c>
      <c r="AK5">
        <v>0</v>
      </c>
      <c r="AL5">
        <v>0</v>
      </c>
    </row>
    <row r="6" spans="1:45">
      <c r="A6" s="4" t="s">
        <v>21</v>
      </c>
      <c r="B6" s="4">
        <f>C6+SUM(E6:AS6)</f>
        <v>176</v>
      </c>
      <c r="C6" s="4">
        <v>136</v>
      </c>
      <c r="D6" s="4">
        <f>SUM(E6:AS6)</f>
        <v>40</v>
      </c>
      <c r="E6">
        <v>3</v>
      </c>
      <c r="F6">
        <v>6</v>
      </c>
      <c r="G6" s="25">
        <v>2</v>
      </c>
      <c r="H6" s="19"/>
      <c r="I6" s="19"/>
      <c r="J6">
        <v>2</v>
      </c>
      <c r="K6">
        <v>0</v>
      </c>
      <c r="L6">
        <v>4</v>
      </c>
      <c r="M6" s="19"/>
      <c r="N6">
        <v>1</v>
      </c>
      <c r="O6">
        <v>0</v>
      </c>
      <c r="P6" s="19"/>
      <c r="Q6" s="19"/>
      <c r="R6" s="19"/>
      <c r="S6">
        <v>2</v>
      </c>
      <c r="T6">
        <v>0</v>
      </c>
      <c r="U6">
        <v>4</v>
      </c>
      <c r="V6">
        <v>1</v>
      </c>
      <c r="W6">
        <v>0</v>
      </c>
      <c r="X6" s="19"/>
      <c r="Y6" s="19"/>
      <c r="Z6">
        <v>1</v>
      </c>
      <c r="AA6">
        <v>2</v>
      </c>
      <c r="AB6">
        <v>2</v>
      </c>
      <c r="AC6">
        <v>0</v>
      </c>
      <c r="AD6">
        <v>1</v>
      </c>
      <c r="AE6">
        <v>0</v>
      </c>
      <c r="AF6">
        <v>2</v>
      </c>
      <c r="AG6">
        <v>2</v>
      </c>
      <c r="AH6">
        <v>0</v>
      </c>
      <c r="AI6">
        <v>3</v>
      </c>
      <c r="AJ6">
        <v>1</v>
      </c>
      <c r="AK6">
        <v>0</v>
      </c>
      <c r="AL6">
        <v>1</v>
      </c>
    </row>
    <row r="7" spans="1:45">
      <c r="A7" s="4" t="s">
        <v>73</v>
      </c>
      <c r="B7" s="4">
        <f>C7+SUM(E7:AS7)</f>
        <v>522</v>
      </c>
      <c r="C7" s="4">
        <v>378</v>
      </c>
      <c r="D7" s="4">
        <f>SUM(E7:AS7)</f>
        <v>144</v>
      </c>
      <c r="E7">
        <v>5</v>
      </c>
      <c r="F7">
        <v>10</v>
      </c>
      <c r="G7" s="25">
        <v>3</v>
      </c>
      <c r="H7" s="19"/>
      <c r="I7" s="19"/>
      <c r="J7">
        <v>6</v>
      </c>
      <c r="K7">
        <v>9</v>
      </c>
      <c r="L7">
        <v>7</v>
      </c>
      <c r="M7" s="19"/>
      <c r="N7">
        <v>7</v>
      </c>
      <c r="O7">
        <v>4</v>
      </c>
      <c r="P7" s="19"/>
      <c r="Q7" s="19"/>
      <c r="R7" s="19"/>
      <c r="S7">
        <v>4</v>
      </c>
      <c r="T7">
        <v>5</v>
      </c>
      <c r="U7">
        <v>7</v>
      </c>
      <c r="V7">
        <v>8</v>
      </c>
      <c r="W7">
        <v>1</v>
      </c>
      <c r="X7" s="19"/>
      <c r="Y7" s="19"/>
      <c r="Z7">
        <v>4</v>
      </c>
      <c r="AA7">
        <v>8</v>
      </c>
      <c r="AB7">
        <v>10</v>
      </c>
      <c r="AC7">
        <v>4</v>
      </c>
      <c r="AD7">
        <v>4</v>
      </c>
      <c r="AE7">
        <v>4</v>
      </c>
      <c r="AF7">
        <v>3</v>
      </c>
      <c r="AG7">
        <v>5</v>
      </c>
      <c r="AH7">
        <v>3</v>
      </c>
      <c r="AI7">
        <v>2</v>
      </c>
      <c r="AJ7">
        <v>3</v>
      </c>
      <c r="AK7">
        <v>7</v>
      </c>
      <c r="AL7">
        <v>11</v>
      </c>
    </row>
    <row r="8" spans="1:45">
      <c r="A8" s="4" t="s">
        <v>38</v>
      </c>
      <c r="B8" s="4">
        <f>C8+SUM(E8:AS8)</f>
        <v>144</v>
      </c>
      <c r="C8" s="4">
        <v>103</v>
      </c>
      <c r="D8" s="4">
        <f>SUM(E8:AS8)</f>
        <v>41</v>
      </c>
      <c r="E8">
        <v>2</v>
      </c>
      <c r="F8">
        <v>0</v>
      </c>
      <c r="G8" s="25">
        <v>3</v>
      </c>
      <c r="H8" s="19"/>
      <c r="I8" s="19"/>
      <c r="J8">
        <v>1</v>
      </c>
      <c r="K8">
        <v>1</v>
      </c>
      <c r="L8">
        <v>2</v>
      </c>
      <c r="M8" s="19"/>
      <c r="N8">
        <v>2</v>
      </c>
      <c r="O8">
        <v>2</v>
      </c>
      <c r="P8" s="19"/>
      <c r="Q8" s="19"/>
      <c r="R8" s="19"/>
      <c r="S8">
        <v>1</v>
      </c>
      <c r="T8">
        <v>2</v>
      </c>
      <c r="U8">
        <v>2</v>
      </c>
      <c r="V8">
        <v>4</v>
      </c>
      <c r="W8">
        <v>0</v>
      </c>
      <c r="X8" s="19"/>
      <c r="Y8" s="19"/>
      <c r="Z8">
        <v>1</v>
      </c>
      <c r="AA8">
        <v>3</v>
      </c>
      <c r="AB8">
        <v>4</v>
      </c>
      <c r="AC8">
        <v>3</v>
      </c>
      <c r="AD8">
        <v>0</v>
      </c>
      <c r="AE8">
        <v>1</v>
      </c>
      <c r="AF8">
        <v>0</v>
      </c>
      <c r="AG8">
        <v>2</v>
      </c>
      <c r="AH8">
        <v>1</v>
      </c>
      <c r="AI8">
        <v>0</v>
      </c>
      <c r="AJ8">
        <v>0</v>
      </c>
      <c r="AK8">
        <v>1</v>
      </c>
      <c r="AL8">
        <v>3</v>
      </c>
    </row>
    <row r="9" spans="1:45">
      <c r="A9" s="4" t="s">
        <v>74</v>
      </c>
      <c r="B9" s="4">
        <f>C9+SUM(E9:AS9)</f>
        <v>21</v>
      </c>
      <c r="C9" s="4">
        <v>14</v>
      </c>
      <c r="D9" s="4">
        <f>SUM(E9:AS9)</f>
        <v>7</v>
      </c>
      <c r="E9">
        <v>1</v>
      </c>
      <c r="F9">
        <v>1</v>
      </c>
      <c r="G9" s="25">
        <v>1</v>
      </c>
      <c r="H9" s="19"/>
      <c r="I9" s="19"/>
      <c r="J9">
        <v>0</v>
      </c>
      <c r="K9">
        <v>1</v>
      </c>
      <c r="L9">
        <v>0</v>
      </c>
      <c r="M9" s="19"/>
      <c r="N9">
        <v>0</v>
      </c>
      <c r="O9">
        <v>0</v>
      </c>
      <c r="P9" s="19"/>
      <c r="Q9" s="19"/>
      <c r="R9" s="19"/>
      <c r="S9">
        <v>0</v>
      </c>
      <c r="T9">
        <v>0</v>
      </c>
      <c r="U9">
        <v>0</v>
      </c>
      <c r="V9">
        <v>0</v>
      </c>
      <c r="W9">
        <v>0</v>
      </c>
      <c r="X9" s="19"/>
      <c r="Y9" s="19"/>
      <c r="Z9">
        <v>0</v>
      </c>
      <c r="AA9">
        <v>0</v>
      </c>
      <c r="AB9">
        <v>1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1</v>
      </c>
    </row>
    <row r="10" spans="1:45">
      <c r="A10" s="4" t="s">
        <v>75</v>
      </c>
      <c r="B10" s="5">
        <f>C10+SUM(E10:AS10)</f>
        <v>2660.4100000000003</v>
      </c>
      <c r="C10" s="8">
        <v>1904</v>
      </c>
      <c r="D10" s="4">
        <f>SUM(E10:AS10)</f>
        <v>756.4100000000002</v>
      </c>
      <c r="E10">
        <v>24.28</v>
      </c>
      <c r="F10">
        <v>39.51</v>
      </c>
      <c r="G10" s="25">
        <v>34.11</v>
      </c>
      <c r="H10" s="19"/>
      <c r="I10" s="19"/>
      <c r="J10">
        <v>33.270000000000003</v>
      </c>
      <c r="K10">
        <v>39.549999999999997</v>
      </c>
      <c r="L10">
        <v>31.02</v>
      </c>
      <c r="M10" s="19"/>
      <c r="N10">
        <v>35.47</v>
      </c>
      <c r="O10">
        <v>7.48</v>
      </c>
      <c r="P10" s="19"/>
      <c r="Q10" s="19"/>
      <c r="R10" s="19"/>
      <c r="S10">
        <v>24.33</v>
      </c>
      <c r="T10">
        <v>24.36</v>
      </c>
      <c r="U10">
        <v>25.46</v>
      </c>
      <c r="V10">
        <v>23.58</v>
      </c>
      <c r="W10">
        <v>27.4</v>
      </c>
      <c r="X10" s="19"/>
      <c r="Y10" s="19"/>
      <c r="Z10">
        <v>28.16</v>
      </c>
      <c r="AA10">
        <v>29.3</v>
      </c>
      <c r="AB10">
        <v>36.049999999999997</v>
      </c>
      <c r="AC10">
        <v>28.4</v>
      </c>
      <c r="AD10">
        <v>19.45</v>
      </c>
      <c r="AE10">
        <v>26.55</v>
      </c>
      <c r="AF10">
        <v>32.47</v>
      </c>
      <c r="AG10">
        <v>29.32</v>
      </c>
      <c r="AH10">
        <v>35.299999999999997</v>
      </c>
      <c r="AI10">
        <v>30.47</v>
      </c>
      <c r="AJ10">
        <v>30.57</v>
      </c>
      <c r="AK10">
        <v>32.46</v>
      </c>
      <c r="AL10">
        <v>28.09</v>
      </c>
    </row>
    <row r="11" spans="1:45">
      <c r="A11" s="4" t="s">
        <v>78</v>
      </c>
      <c r="B11" s="4">
        <f>C11+SUM(E11:AS11)</f>
        <v>194</v>
      </c>
      <c r="C11" s="4">
        <v>114</v>
      </c>
      <c r="D11" s="38">
        <v>80</v>
      </c>
      <c r="E11">
        <v>3</v>
      </c>
      <c r="F11">
        <v>1</v>
      </c>
      <c r="G11" s="25">
        <v>2</v>
      </c>
      <c r="H11" s="19"/>
      <c r="I11" s="19"/>
      <c r="J11">
        <v>3</v>
      </c>
      <c r="K11">
        <v>3</v>
      </c>
      <c r="L11">
        <v>5</v>
      </c>
      <c r="M11" s="19"/>
      <c r="N11">
        <v>7</v>
      </c>
      <c r="O11">
        <v>0</v>
      </c>
      <c r="P11" s="19"/>
      <c r="Q11" s="19"/>
      <c r="R11" s="19"/>
      <c r="S11">
        <v>5</v>
      </c>
      <c r="T11">
        <v>0</v>
      </c>
      <c r="U11">
        <v>1</v>
      </c>
      <c r="V11">
        <v>3</v>
      </c>
      <c r="W11">
        <v>4</v>
      </c>
      <c r="X11" s="19"/>
      <c r="Y11" s="19"/>
      <c r="Z11">
        <v>4</v>
      </c>
      <c r="AA11">
        <v>6</v>
      </c>
      <c r="AB11">
        <v>5</v>
      </c>
      <c r="AC11">
        <v>4</v>
      </c>
      <c r="AD11">
        <v>1</v>
      </c>
      <c r="AE11">
        <v>2</v>
      </c>
      <c r="AF11">
        <v>1</v>
      </c>
      <c r="AG11">
        <v>2</v>
      </c>
      <c r="AH11">
        <v>3</v>
      </c>
      <c r="AI11">
        <v>0</v>
      </c>
      <c r="AJ11">
        <v>5</v>
      </c>
      <c r="AK11">
        <v>2</v>
      </c>
      <c r="AL11">
        <v>8</v>
      </c>
    </row>
    <row r="12" spans="1:45">
      <c r="A12" s="4" t="s">
        <v>79</v>
      </c>
      <c r="B12" s="4">
        <f>C12+SUM(E12:AS12)</f>
        <v>91</v>
      </c>
      <c r="C12" s="4">
        <v>65</v>
      </c>
      <c r="D12" s="4">
        <f>SUM(E12:AS12)</f>
        <v>26</v>
      </c>
      <c r="E12">
        <v>1</v>
      </c>
      <c r="F12">
        <v>1</v>
      </c>
      <c r="G12" s="25">
        <v>1</v>
      </c>
      <c r="H12" s="19"/>
      <c r="I12" s="19"/>
      <c r="J12">
        <v>1</v>
      </c>
      <c r="K12">
        <v>1</v>
      </c>
      <c r="L12">
        <v>1</v>
      </c>
      <c r="M12" s="19"/>
      <c r="N12">
        <v>1</v>
      </c>
      <c r="O12">
        <v>1</v>
      </c>
      <c r="P12" s="19"/>
      <c r="Q12" s="19"/>
      <c r="R12" s="19"/>
      <c r="S12">
        <v>1</v>
      </c>
      <c r="T12">
        <v>1</v>
      </c>
      <c r="U12">
        <v>1</v>
      </c>
      <c r="V12">
        <v>1</v>
      </c>
      <c r="W12">
        <v>1</v>
      </c>
      <c r="X12" s="19"/>
      <c r="Y12" s="19"/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</row>
    <row r="15" spans="1:45" ht="15">
      <c r="A15" s="3" t="s">
        <v>68</v>
      </c>
      <c r="B15" s="2" t="s">
        <v>71</v>
      </c>
      <c r="C15" s="3" t="s">
        <v>72</v>
      </c>
      <c r="D15" s="7">
        <v>46113</v>
      </c>
    </row>
    <row r="16" spans="1:45" ht="15">
      <c r="A16" s="4" t="s">
        <v>35</v>
      </c>
      <c r="B16" s="12">
        <f>SUM(D16:BA16)</f>
        <v>32</v>
      </c>
      <c r="C16" s="4">
        <v>32</v>
      </c>
      <c r="D16" s="4">
        <v>32</v>
      </c>
    </row>
    <row r="17" spans="1:4" ht="15">
      <c r="A17" s="4" t="s">
        <v>25</v>
      </c>
      <c r="B17" s="12">
        <f t="shared" ref="B17:B26" si="0">SUM(D17:BA17)</f>
        <v>9</v>
      </c>
      <c r="C17" s="4">
        <v>9</v>
      </c>
      <c r="D17" s="4">
        <v>9</v>
      </c>
    </row>
    <row r="18" spans="1:4" ht="15">
      <c r="A18" s="4" t="s">
        <v>27</v>
      </c>
      <c r="B18" s="12">
        <f t="shared" si="0"/>
        <v>4</v>
      </c>
      <c r="C18" s="4">
        <v>4</v>
      </c>
      <c r="D18" s="4">
        <v>4</v>
      </c>
    </row>
    <row r="19" spans="1:4" ht="15">
      <c r="A19" s="4" t="s">
        <v>12</v>
      </c>
      <c r="B19" s="12">
        <f t="shared" si="0"/>
        <v>0</v>
      </c>
      <c r="C19" s="4">
        <v>0</v>
      </c>
      <c r="D19" s="4">
        <v>0</v>
      </c>
    </row>
    <row r="20" spans="1:4" ht="15">
      <c r="A20" s="4" t="s">
        <v>21</v>
      </c>
      <c r="B20" s="12">
        <f t="shared" si="0"/>
        <v>3</v>
      </c>
      <c r="C20" s="4">
        <v>3</v>
      </c>
      <c r="D20" s="4">
        <v>3</v>
      </c>
    </row>
    <row r="21" spans="1:4" ht="15">
      <c r="A21" s="4" t="s">
        <v>73</v>
      </c>
      <c r="B21" s="12">
        <f t="shared" si="0"/>
        <v>10</v>
      </c>
      <c r="C21" s="4">
        <v>10</v>
      </c>
      <c r="D21" s="4">
        <v>10</v>
      </c>
    </row>
    <row r="22" spans="1:4" ht="15">
      <c r="A22" s="4" t="s">
        <v>38</v>
      </c>
      <c r="B22" s="12">
        <f t="shared" si="0"/>
        <v>2</v>
      </c>
      <c r="C22" s="4">
        <v>2</v>
      </c>
      <c r="D22" s="4">
        <v>2</v>
      </c>
    </row>
    <row r="23" spans="1:4" ht="15">
      <c r="A23" s="4" t="s">
        <v>74</v>
      </c>
      <c r="B23" s="12">
        <f t="shared" si="0"/>
        <v>0</v>
      </c>
      <c r="C23" s="4">
        <v>0</v>
      </c>
      <c r="D23" s="4">
        <v>0</v>
      </c>
    </row>
    <row r="24" spans="1:4" ht="15">
      <c r="A24" s="4" t="s">
        <v>75</v>
      </c>
      <c r="B24" s="12">
        <f t="shared" si="0"/>
        <v>38.119999999999997</v>
      </c>
      <c r="C24" s="4">
        <v>38.119999999999997</v>
      </c>
      <c r="D24" s="4">
        <v>38.119999999999997</v>
      </c>
    </row>
    <row r="25" spans="1:4" ht="15">
      <c r="A25" s="4" t="s">
        <v>78</v>
      </c>
      <c r="B25" s="12">
        <f t="shared" si="0"/>
        <v>6</v>
      </c>
      <c r="C25" s="4">
        <v>6</v>
      </c>
      <c r="D25" s="4">
        <v>6</v>
      </c>
    </row>
    <row r="26" spans="1:4" ht="15">
      <c r="A26" s="4" t="s">
        <v>79</v>
      </c>
      <c r="B26" s="12">
        <f t="shared" si="0"/>
        <v>1</v>
      </c>
      <c r="C26" s="4">
        <v>1</v>
      </c>
      <c r="D26" s="4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04FC3-458B-42FA-B791-FE90F6C85EE9}">
  <dimension ref="A1:AI26"/>
  <sheetViews>
    <sheetView workbookViewId="0">
      <selection activeCell="C28" sqref="C28"/>
    </sheetView>
  </sheetViews>
  <sheetFormatPr defaultRowHeight="15" customHeight="1"/>
  <cols>
    <col min="1" max="1" width="21.28515625" style="4" customWidth="1"/>
    <col min="2" max="2" width="12.7109375" style="4" customWidth="1"/>
    <col min="3" max="3" width="13.7109375" style="4" customWidth="1"/>
    <col min="4" max="4" width="10.140625" style="4" customWidth="1"/>
    <col min="5" max="5" width="9.140625" style="3"/>
    <col min="8" max="8" width="9.140625" style="24"/>
  </cols>
  <sheetData>
    <row r="1" spans="1:35">
      <c r="A1" s="3" t="s">
        <v>97</v>
      </c>
      <c r="B1" s="3" t="s">
        <v>71</v>
      </c>
      <c r="C1" s="3" t="s">
        <v>98</v>
      </c>
      <c r="D1" s="3" t="s">
        <v>72</v>
      </c>
      <c r="E1" s="3" t="s">
        <v>11</v>
      </c>
      <c r="F1" s="6">
        <v>46030</v>
      </c>
      <c r="G1" s="6">
        <v>46031</v>
      </c>
      <c r="H1" s="23">
        <v>46034</v>
      </c>
      <c r="I1" s="6">
        <v>46036</v>
      </c>
      <c r="J1" s="6">
        <v>46040</v>
      </c>
      <c r="K1" s="6">
        <v>46041</v>
      </c>
      <c r="L1" s="6">
        <v>46043</v>
      </c>
      <c r="M1" s="6">
        <v>46045</v>
      </c>
      <c r="N1" s="6">
        <v>46048</v>
      </c>
      <c r="O1" s="6">
        <v>46050</v>
      </c>
      <c r="P1" s="6">
        <v>46055</v>
      </c>
      <c r="Q1" s="6">
        <v>46058</v>
      </c>
      <c r="R1" s="6">
        <v>46059</v>
      </c>
      <c r="S1" s="6">
        <v>46061</v>
      </c>
      <c r="T1" s="6">
        <v>46063</v>
      </c>
      <c r="U1" s="6">
        <v>46065</v>
      </c>
      <c r="V1" s="6">
        <v>46072</v>
      </c>
      <c r="W1" s="6">
        <v>46073</v>
      </c>
      <c r="X1" s="6">
        <v>46078</v>
      </c>
      <c r="Y1" s="6">
        <v>46079</v>
      </c>
      <c r="Z1" s="6">
        <v>46082</v>
      </c>
      <c r="AA1" s="6">
        <v>46085</v>
      </c>
      <c r="AB1" s="6">
        <v>46087</v>
      </c>
      <c r="AC1" s="6">
        <v>46096</v>
      </c>
      <c r="AD1" s="6">
        <v>46098</v>
      </c>
      <c r="AE1" s="6">
        <v>46100</v>
      </c>
      <c r="AF1" s="6">
        <v>46103</v>
      </c>
      <c r="AG1" s="6">
        <v>46105</v>
      </c>
      <c r="AH1" s="6">
        <v>46106</v>
      </c>
      <c r="AI1" s="6">
        <v>46109</v>
      </c>
    </row>
    <row r="2" spans="1:35">
      <c r="A2" s="4" t="s">
        <v>35</v>
      </c>
      <c r="B2" s="5">
        <f t="shared" ref="B2:B9" si="0">C2+SUM(F2:AI2)</f>
        <v>125</v>
      </c>
      <c r="C2" s="4">
        <v>58</v>
      </c>
      <c r="D2" s="5">
        <f>C2+SUM(F2:AI2)</f>
        <v>125</v>
      </c>
      <c r="E2" s="4">
        <f t="shared" ref="E2:E12" si="1">SUM(F2:AI2)</f>
        <v>67</v>
      </c>
      <c r="F2">
        <v>0</v>
      </c>
      <c r="G2" s="19"/>
      <c r="H2" s="36"/>
      <c r="I2" s="19"/>
      <c r="J2" s="19"/>
      <c r="K2" s="19"/>
      <c r="L2">
        <v>0</v>
      </c>
      <c r="M2" s="19"/>
      <c r="N2" s="19"/>
      <c r="O2" s="19"/>
      <c r="P2" s="19"/>
      <c r="Q2">
        <v>3</v>
      </c>
      <c r="R2" s="19"/>
      <c r="S2">
        <v>0</v>
      </c>
      <c r="T2" s="19"/>
      <c r="U2" s="19"/>
      <c r="V2" s="19"/>
      <c r="W2" s="19"/>
      <c r="X2" s="19"/>
      <c r="Y2" s="19"/>
      <c r="Z2" s="19"/>
      <c r="AA2" s="19"/>
      <c r="AB2" s="19"/>
      <c r="AC2">
        <v>7</v>
      </c>
      <c r="AD2">
        <v>4</v>
      </c>
      <c r="AE2">
        <v>10</v>
      </c>
      <c r="AF2">
        <v>6</v>
      </c>
      <c r="AG2">
        <v>9</v>
      </c>
      <c r="AH2">
        <v>24</v>
      </c>
      <c r="AI2">
        <v>4</v>
      </c>
    </row>
    <row r="3" spans="1:35">
      <c r="A3" s="4" t="s">
        <v>25</v>
      </c>
      <c r="B3" s="4">
        <f t="shared" si="0"/>
        <v>26</v>
      </c>
      <c r="C3" s="4">
        <v>13</v>
      </c>
      <c r="D3" s="4">
        <f t="shared" ref="D3:D12" si="2">C3+SUM(F3:AI3)</f>
        <v>26</v>
      </c>
      <c r="E3" s="4">
        <f t="shared" si="1"/>
        <v>13</v>
      </c>
      <c r="F3">
        <v>0</v>
      </c>
      <c r="G3" s="19"/>
      <c r="H3" s="36"/>
      <c r="I3" s="19"/>
      <c r="J3" s="19"/>
      <c r="K3" s="19"/>
      <c r="L3">
        <v>0</v>
      </c>
      <c r="M3" s="19"/>
      <c r="N3" s="19"/>
      <c r="O3" s="19"/>
      <c r="P3" s="19"/>
      <c r="Q3">
        <v>0</v>
      </c>
      <c r="R3" s="19"/>
      <c r="S3">
        <v>0</v>
      </c>
      <c r="T3" s="19"/>
      <c r="U3" s="19"/>
      <c r="V3" s="19"/>
      <c r="W3" s="19"/>
      <c r="X3" s="19"/>
      <c r="Y3" s="19"/>
      <c r="Z3" s="19"/>
      <c r="AA3" s="19"/>
      <c r="AB3" s="19"/>
      <c r="AC3">
        <v>1</v>
      </c>
      <c r="AD3">
        <v>0</v>
      </c>
      <c r="AE3">
        <v>1</v>
      </c>
      <c r="AF3">
        <v>2</v>
      </c>
      <c r="AG3">
        <v>2</v>
      </c>
      <c r="AH3">
        <v>6</v>
      </c>
      <c r="AI3">
        <v>1</v>
      </c>
    </row>
    <row r="4" spans="1:35">
      <c r="A4" s="4" t="s">
        <v>27</v>
      </c>
      <c r="B4" s="4">
        <f t="shared" si="0"/>
        <v>16</v>
      </c>
      <c r="C4" s="4">
        <v>9</v>
      </c>
      <c r="D4" s="4">
        <f t="shared" si="2"/>
        <v>16</v>
      </c>
      <c r="E4" s="4">
        <f t="shared" si="1"/>
        <v>7</v>
      </c>
      <c r="F4">
        <v>0</v>
      </c>
      <c r="G4" s="19"/>
      <c r="H4" s="36"/>
      <c r="I4" s="19"/>
      <c r="J4" s="19"/>
      <c r="K4" s="19"/>
      <c r="L4">
        <v>0</v>
      </c>
      <c r="M4" s="19"/>
      <c r="N4" s="19"/>
      <c r="O4" s="19"/>
      <c r="P4" s="19"/>
      <c r="Q4">
        <v>0</v>
      </c>
      <c r="R4" s="19"/>
      <c r="S4">
        <v>0</v>
      </c>
      <c r="T4" s="19"/>
      <c r="U4" s="19"/>
      <c r="V4" s="19"/>
      <c r="W4" s="19"/>
      <c r="X4" s="19"/>
      <c r="Y4" s="19"/>
      <c r="Z4" s="19"/>
      <c r="AA4" s="19"/>
      <c r="AB4" s="19"/>
      <c r="AC4">
        <v>1</v>
      </c>
      <c r="AD4">
        <v>0</v>
      </c>
      <c r="AE4">
        <v>1</v>
      </c>
      <c r="AF4">
        <v>0</v>
      </c>
      <c r="AG4">
        <v>0</v>
      </c>
      <c r="AH4">
        <v>5</v>
      </c>
      <c r="AI4">
        <v>0</v>
      </c>
    </row>
    <row r="5" spans="1:35">
      <c r="A5" s="4" t="s">
        <v>12</v>
      </c>
      <c r="B5" s="4">
        <f t="shared" si="0"/>
        <v>2</v>
      </c>
      <c r="C5" s="4">
        <v>2</v>
      </c>
      <c r="D5" s="4">
        <f t="shared" si="2"/>
        <v>2</v>
      </c>
      <c r="E5" s="4">
        <f t="shared" si="1"/>
        <v>0</v>
      </c>
      <c r="F5">
        <v>0</v>
      </c>
      <c r="G5" s="19"/>
      <c r="H5" s="36"/>
      <c r="I5" s="19"/>
      <c r="J5" s="19"/>
      <c r="K5" s="19"/>
      <c r="L5">
        <v>0</v>
      </c>
      <c r="M5" s="19"/>
      <c r="N5" s="19"/>
      <c r="O5" s="19"/>
      <c r="P5" s="19"/>
      <c r="Q5">
        <v>0</v>
      </c>
      <c r="R5" s="19"/>
      <c r="S5">
        <v>0</v>
      </c>
      <c r="T5" s="19"/>
      <c r="U5" s="19"/>
      <c r="V5" s="19"/>
      <c r="W5" s="19"/>
      <c r="X5" s="19"/>
      <c r="Y5" s="19"/>
      <c r="Z5" s="19"/>
      <c r="AA5" s="19"/>
      <c r="AB5" s="19"/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>
      <c r="A6" s="4" t="s">
        <v>21</v>
      </c>
      <c r="B6" s="4">
        <f t="shared" si="0"/>
        <v>0</v>
      </c>
      <c r="C6" s="4">
        <v>0</v>
      </c>
      <c r="D6" s="4">
        <f t="shared" si="2"/>
        <v>0</v>
      </c>
      <c r="E6" s="4">
        <f t="shared" si="1"/>
        <v>0</v>
      </c>
      <c r="F6">
        <v>0</v>
      </c>
      <c r="G6" s="19"/>
      <c r="H6" s="36"/>
      <c r="I6" s="19"/>
      <c r="J6" s="19"/>
      <c r="K6" s="19"/>
      <c r="L6">
        <v>0</v>
      </c>
      <c r="M6" s="19"/>
      <c r="N6" s="19"/>
      <c r="O6" s="19"/>
      <c r="P6" s="19"/>
      <c r="Q6">
        <v>0</v>
      </c>
      <c r="R6" s="19"/>
      <c r="S6">
        <v>0</v>
      </c>
      <c r="T6" s="19"/>
      <c r="U6" s="19"/>
      <c r="V6" s="19"/>
      <c r="W6" s="19"/>
      <c r="X6" s="19"/>
      <c r="Y6" s="19"/>
      <c r="Z6" s="19"/>
      <c r="AA6" s="19"/>
      <c r="AB6" s="19"/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>
      <c r="A7" s="4" t="s">
        <v>73</v>
      </c>
      <c r="B7" s="4">
        <f t="shared" si="0"/>
        <v>47</v>
      </c>
      <c r="C7" s="4">
        <v>22</v>
      </c>
      <c r="D7" s="4">
        <f t="shared" si="2"/>
        <v>47</v>
      </c>
      <c r="E7" s="4">
        <f t="shared" si="1"/>
        <v>25</v>
      </c>
      <c r="F7">
        <v>0</v>
      </c>
      <c r="G7" s="19"/>
      <c r="H7" s="36"/>
      <c r="I7" s="19"/>
      <c r="J7" s="19"/>
      <c r="K7" s="19"/>
      <c r="L7">
        <v>0</v>
      </c>
      <c r="M7" s="19"/>
      <c r="N7" s="19"/>
      <c r="O7" s="19"/>
      <c r="P7" s="19"/>
      <c r="Q7">
        <v>1</v>
      </c>
      <c r="R7" s="19"/>
      <c r="S7">
        <v>0</v>
      </c>
      <c r="T7" s="19"/>
      <c r="U7" s="19"/>
      <c r="V7" s="19"/>
      <c r="W7" s="19"/>
      <c r="X7" s="19"/>
      <c r="Y7" s="19"/>
      <c r="Z7" s="19"/>
      <c r="AA7" s="19"/>
      <c r="AB7" s="19"/>
      <c r="AC7">
        <v>2</v>
      </c>
      <c r="AD7">
        <v>2</v>
      </c>
      <c r="AE7">
        <v>4</v>
      </c>
      <c r="AF7">
        <v>1</v>
      </c>
      <c r="AG7">
        <v>3</v>
      </c>
      <c r="AH7">
        <v>10</v>
      </c>
      <c r="AI7">
        <v>2</v>
      </c>
    </row>
    <row r="8" spans="1:35">
      <c r="A8" s="4" t="s">
        <v>38</v>
      </c>
      <c r="B8" s="4">
        <f t="shared" si="0"/>
        <v>11</v>
      </c>
      <c r="C8" s="4">
        <v>5</v>
      </c>
      <c r="D8" s="4">
        <f t="shared" si="2"/>
        <v>11</v>
      </c>
      <c r="E8" s="4">
        <f t="shared" si="1"/>
        <v>6</v>
      </c>
      <c r="F8">
        <v>0</v>
      </c>
      <c r="G8" s="19"/>
      <c r="H8" s="36"/>
      <c r="I8" s="19"/>
      <c r="J8" s="19"/>
      <c r="K8" s="19"/>
      <c r="L8">
        <v>0</v>
      </c>
      <c r="M8" s="19"/>
      <c r="N8" s="19"/>
      <c r="O8" s="19"/>
      <c r="P8" s="19"/>
      <c r="Q8">
        <v>1</v>
      </c>
      <c r="R8" s="19"/>
      <c r="S8">
        <v>0</v>
      </c>
      <c r="T8" s="19"/>
      <c r="U8" s="19"/>
      <c r="V8" s="19"/>
      <c r="W8" s="19"/>
      <c r="X8" s="19"/>
      <c r="Y8" s="19"/>
      <c r="Z8" s="19"/>
      <c r="AA8" s="19"/>
      <c r="AB8" s="19"/>
      <c r="AC8">
        <v>1</v>
      </c>
      <c r="AD8">
        <v>0</v>
      </c>
      <c r="AE8">
        <v>2</v>
      </c>
      <c r="AF8">
        <v>0</v>
      </c>
      <c r="AG8">
        <v>1</v>
      </c>
      <c r="AH8">
        <v>1</v>
      </c>
      <c r="AI8">
        <v>0</v>
      </c>
    </row>
    <row r="9" spans="1:35">
      <c r="A9" s="4" t="s">
        <v>74</v>
      </c>
      <c r="B9" s="4">
        <f t="shared" si="0"/>
        <v>0</v>
      </c>
      <c r="C9" s="4">
        <v>0</v>
      </c>
      <c r="D9" s="4">
        <f t="shared" si="2"/>
        <v>0</v>
      </c>
      <c r="E9" s="4">
        <f t="shared" si="1"/>
        <v>0</v>
      </c>
      <c r="F9">
        <v>0</v>
      </c>
      <c r="G9" s="19"/>
      <c r="H9" s="36"/>
      <c r="I9" s="19"/>
      <c r="J9" s="19"/>
      <c r="K9" s="19"/>
      <c r="L9">
        <v>0</v>
      </c>
      <c r="M9" s="19"/>
      <c r="N9" s="19"/>
      <c r="O9" s="19"/>
      <c r="P9" s="19"/>
      <c r="Q9">
        <v>0</v>
      </c>
      <c r="R9" s="19"/>
      <c r="S9">
        <v>0</v>
      </c>
      <c r="T9" s="19"/>
      <c r="U9" s="19"/>
      <c r="V9" s="19"/>
      <c r="W9" s="19"/>
      <c r="X9" s="19"/>
      <c r="Y9" s="19"/>
      <c r="Z9" s="19"/>
      <c r="AA9" s="19"/>
      <c r="AB9" s="19"/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>
      <c r="A10" s="4" t="s">
        <v>75</v>
      </c>
      <c r="B10" s="5">
        <v>0</v>
      </c>
      <c r="C10" s="8">
        <v>126</v>
      </c>
      <c r="D10" s="8">
        <f t="shared" si="2"/>
        <v>261.75</v>
      </c>
      <c r="E10" s="4">
        <f t="shared" si="1"/>
        <v>135.75</v>
      </c>
      <c r="F10">
        <v>1.54</v>
      </c>
      <c r="G10" s="19"/>
      <c r="H10" s="36"/>
      <c r="I10" s="19"/>
      <c r="J10" s="19"/>
      <c r="K10" s="19"/>
      <c r="L10">
        <v>3.03</v>
      </c>
      <c r="M10" s="19"/>
      <c r="N10" s="19"/>
      <c r="O10" s="19"/>
      <c r="P10" s="19"/>
      <c r="Q10">
        <v>2.2999999999999998</v>
      </c>
      <c r="R10" s="19"/>
      <c r="S10">
        <v>2.44</v>
      </c>
      <c r="T10" s="19"/>
      <c r="U10" s="19"/>
      <c r="V10" s="19"/>
      <c r="W10" s="19"/>
      <c r="X10" s="19"/>
      <c r="Y10" s="19"/>
      <c r="Z10" s="19"/>
      <c r="AA10" s="19"/>
      <c r="AB10" s="19"/>
      <c r="AC10">
        <v>18.260000000000002</v>
      </c>
      <c r="AD10">
        <v>12.01</v>
      </c>
      <c r="AE10">
        <v>17.03</v>
      </c>
      <c r="AF10">
        <v>13.46</v>
      </c>
      <c r="AG10">
        <v>19.47</v>
      </c>
      <c r="AH10">
        <v>33.15</v>
      </c>
      <c r="AI10">
        <v>13.06</v>
      </c>
    </row>
    <row r="11" spans="1:35">
      <c r="A11" s="4" t="s">
        <v>78</v>
      </c>
      <c r="B11" s="5">
        <f>C11+SUM(F11:AI11)</f>
        <v>12</v>
      </c>
      <c r="C11" s="5">
        <v>5</v>
      </c>
      <c r="D11" s="5">
        <f t="shared" si="2"/>
        <v>12</v>
      </c>
      <c r="E11" s="4">
        <f t="shared" si="1"/>
        <v>7</v>
      </c>
      <c r="F11">
        <v>0</v>
      </c>
      <c r="G11" s="19"/>
      <c r="H11" s="36"/>
      <c r="I11" s="19"/>
      <c r="J11" s="19"/>
      <c r="K11" s="19"/>
      <c r="L11">
        <v>0</v>
      </c>
      <c r="M11" s="19"/>
      <c r="N11" s="19"/>
      <c r="O11" s="19"/>
      <c r="P11" s="19"/>
      <c r="Q11">
        <v>1</v>
      </c>
      <c r="R11" s="19"/>
      <c r="S11">
        <v>0</v>
      </c>
      <c r="T11" s="19"/>
      <c r="U11" s="19"/>
      <c r="V11" s="19"/>
      <c r="W11" s="19"/>
      <c r="X11" s="19"/>
      <c r="Y11" s="19"/>
      <c r="Z11" s="19"/>
      <c r="AA11" s="19"/>
      <c r="AB11" s="19"/>
      <c r="AC11">
        <v>1</v>
      </c>
      <c r="AD11">
        <v>0</v>
      </c>
      <c r="AE11">
        <v>0</v>
      </c>
      <c r="AF11">
        <v>2</v>
      </c>
      <c r="AG11">
        <v>1</v>
      </c>
      <c r="AH11">
        <v>2</v>
      </c>
      <c r="AI11">
        <v>0</v>
      </c>
    </row>
    <row r="12" spans="1:35">
      <c r="A12" s="4" t="s">
        <v>79</v>
      </c>
      <c r="B12" s="5">
        <f>C12+SUM(F12:AI12)</f>
        <v>17</v>
      </c>
      <c r="C12" s="5">
        <v>6</v>
      </c>
      <c r="D12" s="5">
        <f t="shared" si="2"/>
        <v>17</v>
      </c>
      <c r="E12" s="4">
        <f t="shared" si="1"/>
        <v>11</v>
      </c>
      <c r="F12">
        <v>1</v>
      </c>
      <c r="G12" s="19"/>
      <c r="H12" s="36"/>
      <c r="I12" s="19"/>
      <c r="J12" s="19"/>
      <c r="K12" s="19"/>
      <c r="L12">
        <v>1</v>
      </c>
      <c r="M12" s="19"/>
      <c r="N12" s="19"/>
      <c r="O12" s="19"/>
      <c r="P12" s="19"/>
      <c r="Q12">
        <v>1</v>
      </c>
      <c r="R12" s="19"/>
      <c r="S12">
        <v>1</v>
      </c>
      <c r="T12" s="19"/>
      <c r="U12" s="19"/>
      <c r="V12" s="19"/>
      <c r="W12" s="19"/>
      <c r="X12" s="19"/>
      <c r="Y12" s="19"/>
      <c r="Z12" s="19"/>
      <c r="AA12" s="19"/>
      <c r="AB12" s="19"/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</row>
    <row r="15" spans="1:35" ht="15" customHeight="1">
      <c r="A15" s="3" t="s">
        <v>68</v>
      </c>
      <c r="B15" s="3" t="s">
        <v>71</v>
      </c>
      <c r="C15" s="3" t="s">
        <v>72</v>
      </c>
      <c r="D15" s="7">
        <v>46113</v>
      </c>
    </row>
    <row r="16" spans="1:35" ht="15" customHeight="1">
      <c r="A16" s="4" t="s">
        <v>35</v>
      </c>
      <c r="B16" s="12">
        <f>SUM(D16:BA16)</f>
        <v>0</v>
      </c>
      <c r="C16" s="4">
        <v>0</v>
      </c>
      <c r="D16" s="18"/>
    </row>
    <row r="17" spans="1:4" ht="15" customHeight="1">
      <c r="A17" s="4" t="s">
        <v>25</v>
      </c>
      <c r="B17" s="12">
        <f t="shared" ref="B17:B26" si="3">SUM(D17:BA17)</f>
        <v>0</v>
      </c>
      <c r="C17" s="4">
        <v>0</v>
      </c>
      <c r="D17" s="18"/>
    </row>
    <row r="18" spans="1:4" ht="15" customHeight="1">
      <c r="A18" s="4" t="s">
        <v>27</v>
      </c>
      <c r="B18" s="12">
        <f t="shared" si="3"/>
        <v>0</v>
      </c>
      <c r="C18" s="4">
        <v>0</v>
      </c>
      <c r="D18" s="18"/>
    </row>
    <row r="19" spans="1:4" ht="15" customHeight="1">
      <c r="A19" s="4" t="s">
        <v>12</v>
      </c>
      <c r="B19" s="12">
        <f t="shared" si="3"/>
        <v>0</v>
      </c>
      <c r="C19" s="4">
        <v>0</v>
      </c>
      <c r="D19" s="18"/>
    </row>
    <row r="20" spans="1:4" ht="15" customHeight="1">
      <c r="A20" s="4" t="s">
        <v>21</v>
      </c>
      <c r="B20" s="12">
        <f t="shared" si="3"/>
        <v>0</v>
      </c>
      <c r="C20" s="4">
        <v>0</v>
      </c>
      <c r="D20" s="18"/>
    </row>
    <row r="21" spans="1:4" ht="15" customHeight="1">
      <c r="A21" s="4" t="s">
        <v>73</v>
      </c>
      <c r="B21" s="12">
        <f t="shared" si="3"/>
        <v>0</v>
      </c>
      <c r="C21" s="4">
        <v>0</v>
      </c>
      <c r="D21" s="18"/>
    </row>
    <row r="22" spans="1:4" ht="15" customHeight="1">
      <c r="A22" s="4" t="s">
        <v>38</v>
      </c>
      <c r="B22" s="12">
        <f t="shared" si="3"/>
        <v>0</v>
      </c>
      <c r="C22" s="4">
        <v>0</v>
      </c>
      <c r="D22" s="18"/>
    </row>
    <row r="23" spans="1:4" ht="15" customHeight="1">
      <c r="A23" s="4" t="s">
        <v>74</v>
      </c>
      <c r="B23" s="12">
        <f t="shared" si="3"/>
        <v>0</v>
      </c>
      <c r="C23" s="4">
        <v>0</v>
      </c>
      <c r="D23" s="18"/>
    </row>
    <row r="24" spans="1:4" ht="15" customHeight="1">
      <c r="A24" s="4" t="s">
        <v>75</v>
      </c>
      <c r="B24" s="12">
        <f t="shared" si="3"/>
        <v>0</v>
      </c>
      <c r="C24" s="4">
        <v>0</v>
      </c>
      <c r="D24" s="18"/>
    </row>
    <row r="25" spans="1:4" ht="15" customHeight="1">
      <c r="A25" s="4" t="s">
        <v>78</v>
      </c>
      <c r="B25" s="12">
        <f t="shared" si="3"/>
        <v>0</v>
      </c>
      <c r="C25" s="4">
        <v>0</v>
      </c>
      <c r="D25" s="18"/>
    </row>
    <row r="26" spans="1:4" ht="15" customHeight="1">
      <c r="A26" s="4" t="s">
        <v>79</v>
      </c>
      <c r="B26" s="12">
        <f t="shared" si="3"/>
        <v>0</v>
      </c>
      <c r="C26" s="4">
        <v>0</v>
      </c>
      <c r="D26" s="1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D725D-C32C-404C-AC59-0CCE187F283A}">
  <dimension ref="A1:Z26"/>
  <sheetViews>
    <sheetView workbookViewId="0">
      <selection activeCell="B21" sqref="B21"/>
    </sheetView>
  </sheetViews>
  <sheetFormatPr defaultRowHeight="15" customHeight="1"/>
  <cols>
    <col min="1" max="1" width="21.28515625" style="4" customWidth="1"/>
    <col min="2" max="2" width="12.7109375" style="4" customWidth="1"/>
    <col min="3" max="3" width="13.7109375" style="4" customWidth="1"/>
    <col min="4" max="4" width="10.140625" style="4" customWidth="1"/>
    <col min="5" max="5" width="9.140625" style="3"/>
    <col min="8" max="8" width="9.140625" style="24"/>
  </cols>
  <sheetData>
    <row r="1" spans="1:26">
      <c r="A1" s="3" t="s">
        <v>99</v>
      </c>
      <c r="B1" s="3" t="s">
        <v>71</v>
      </c>
      <c r="C1" s="3" t="s">
        <v>100</v>
      </c>
      <c r="D1" s="3" t="s">
        <v>72</v>
      </c>
      <c r="E1" s="3" t="s">
        <v>11</v>
      </c>
      <c r="F1" s="6">
        <v>46072</v>
      </c>
      <c r="G1" s="6">
        <v>46073</v>
      </c>
      <c r="H1" s="23">
        <v>46078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4" t="s">
        <v>35</v>
      </c>
      <c r="B2" s="5">
        <f t="shared" ref="B2:B9" si="0">C2+SUM(F2:AI2)</f>
        <v>646</v>
      </c>
      <c r="C2" s="4">
        <v>615</v>
      </c>
      <c r="D2" s="5">
        <f>+SUM(F2:AI2)</f>
        <v>31</v>
      </c>
      <c r="E2" s="4">
        <f t="shared" ref="E2:E12" si="1">SUM(F2:AI2)</f>
        <v>31</v>
      </c>
      <c r="F2">
        <v>17</v>
      </c>
      <c r="G2">
        <v>9</v>
      </c>
      <c r="H2" s="24">
        <v>5</v>
      </c>
    </row>
    <row r="3" spans="1:26">
      <c r="A3" s="4" t="s">
        <v>25</v>
      </c>
      <c r="B3" s="4">
        <f t="shared" si="0"/>
        <v>248</v>
      </c>
      <c r="C3" s="4">
        <v>239</v>
      </c>
      <c r="D3" s="4">
        <f>+SUM(F3:AI3)</f>
        <v>9</v>
      </c>
      <c r="E3" s="4">
        <f t="shared" si="1"/>
        <v>9</v>
      </c>
      <c r="F3">
        <v>1</v>
      </c>
      <c r="G3">
        <v>4</v>
      </c>
      <c r="H3" s="24">
        <v>4</v>
      </c>
    </row>
    <row r="4" spans="1:26">
      <c r="A4" s="4" t="s">
        <v>27</v>
      </c>
      <c r="B4" s="4">
        <f t="shared" si="0"/>
        <v>92</v>
      </c>
      <c r="C4" s="4">
        <v>86</v>
      </c>
      <c r="D4" s="4">
        <f>+SUM(F4:AI4)</f>
        <v>6</v>
      </c>
      <c r="E4" s="4">
        <f t="shared" si="1"/>
        <v>6</v>
      </c>
      <c r="F4">
        <v>2</v>
      </c>
      <c r="G4">
        <v>2</v>
      </c>
      <c r="H4" s="24">
        <v>2</v>
      </c>
    </row>
    <row r="5" spans="1:26">
      <c r="A5" s="4" t="s">
        <v>12</v>
      </c>
      <c r="B5" s="4">
        <f t="shared" si="0"/>
        <v>39</v>
      </c>
      <c r="C5" s="4">
        <v>37</v>
      </c>
      <c r="D5" s="4">
        <f>+SUM(F5:AI5)</f>
        <v>2</v>
      </c>
      <c r="E5" s="4">
        <f t="shared" si="1"/>
        <v>2</v>
      </c>
      <c r="F5">
        <v>2</v>
      </c>
      <c r="G5">
        <v>0</v>
      </c>
      <c r="H5" s="24">
        <v>0</v>
      </c>
    </row>
    <row r="6" spans="1:26">
      <c r="A6" s="4" t="s">
        <v>21</v>
      </c>
      <c r="B6" s="4">
        <f t="shared" si="0"/>
        <v>60</v>
      </c>
      <c r="C6" s="4">
        <v>55</v>
      </c>
      <c r="D6" s="4">
        <f>+SUM(F6:AI6)</f>
        <v>5</v>
      </c>
      <c r="E6" s="4">
        <f t="shared" si="1"/>
        <v>5</v>
      </c>
      <c r="F6">
        <v>2</v>
      </c>
      <c r="G6">
        <v>3</v>
      </c>
      <c r="H6" s="24">
        <v>0</v>
      </c>
    </row>
    <row r="7" spans="1:26">
      <c r="A7" s="4" t="s">
        <v>73</v>
      </c>
      <c r="B7" s="4">
        <f t="shared" si="0"/>
        <v>256</v>
      </c>
      <c r="C7" s="4">
        <v>246</v>
      </c>
      <c r="D7" s="4">
        <f>+SUM(F7:AI7)</f>
        <v>10</v>
      </c>
      <c r="E7" s="4">
        <f t="shared" si="1"/>
        <v>10</v>
      </c>
      <c r="F7">
        <v>5</v>
      </c>
      <c r="G7">
        <v>3</v>
      </c>
      <c r="H7" s="24">
        <v>2</v>
      </c>
    </row>
    <row r="8" spans="1:26">
      <c r="A8" s="4" t="s">
        <v>38</v>
      </c>
      <c r="B8" s="4">
        <f t="shared" si="0"/>
        <v>41</v>
      </c>
      <c r="C8" s="4">
        <v>33</v>
      </c>
      <c r="D8" s="4">
        <f>+SUM(F8:AI8)</f>
        <v>8</v>
      </c>
      <c r="E8" s="4">
        <f t="shared" si="1"/>
        <v>8</v>
      </c>
      <c r="F8">
        <v>5</v>
      </c>
      <c r="G8">
        <v>2</v>
      </c>
      <c r="H8" s="24">
        <v>1</v>
      </c>
    </row>
    <row r="9" spans="1:26">
      <c r="A9" s="4" t="s">
        <v>74</v>
      </c>
      <c r="B9" s="4">
        <f>C9+SUM(F9:AI9)</f>
        <v>8</v>
      </c>
      <c r="C9" s="4">
        <v>8</v>
      </c>
      <c r="D9" s="4">
        <f>+SUM(F9:AI9)</f>
        <v>0</v>
      </c>
      <c r="E9" s="4">
        <f t="shared" si="1"/>
        <v>0</v>
      </c>
      <c r="F9">
        <v>0</v>
      </c>
      <c r="G9">
        <v>0</v>
      </c>
      <c r="H9" s="24">
        <v>0</v>
      </c>
    </row>
    <row r="10" spans="1:26">
      <c r="A10" s="4" t="s">
        <v>75</v>
      </c>
      <c r="B10" s="5">
        <f>C10+SUM(F10:AI10)</f>
        <v>1108.51</v>
      </c>
      <c r="C10" s="8">
        <v>1035</v>
      </c>
      <c r="D10" s="8">
        <f>+SUM(F10:AI10)</f>
        <v>73.510000000000005</v>
      </c>
      <c r="E10" s="4">
        <f t="shared" si="1"/>
        <v>73.510000000000005</v>
      </c>
      <c r="F10">
        <v>24.05</v>
      </c>
      <c r="G10">
        <v>25.46</v>
      </c>
      <c r="H10" s="24">
        <v>24</v>
      </c>
    </row>
    <row r="11" spans="1:26">
      <c r="A11" s="4" t="s">
        <v>78</v>
      </c>
      <c r="B11" s="5">
        <f>C11+SUM(F11:AI11)</f>
        <v>55</v>
      </c>
      <c r="C11" s="5">
        <v>53</v>
      </c>
      <c r="D11" s="5">
        <f>+SUM(F11:AI11)</f>
        <v>2</v>
      </c>
      <c r="E11" s="4">
        <f t="shared" si="1"/>
        <v>2</v>
      </c>
      <c r="F11">
        <v>1</v>
      </c>
      <c r="G11">
        <v>1</v>
      </c>
      <c r="H11" s="24">
        <v>0</v>
      </c>
    </row>
    <row r="12" spans="1:26">
      <c r="A12" s="4" t="s">
        <v>79</v>
      </c>
      <c r="B12" s="5">
        <f>C12+SUM(F12:AI12)</f>
        <v>35</v>
      </c>
      <c r="C12" s="5">
        <v>32</v>
      </c>
      <c r="D12" s="5">
        <f>+SUM(F12:AI12)</f>
        <v>3</v>
      </c>
      <c r="E12" s="4">
        <f t="shared" si="1"/>
        <v>3</v>
      </c>
      <c r="F12">
        <v>1</v>
      </c>
      <c r="G12">
        <v>1</v>
      </c>
      <c r="H12" s="24">
        <v>1</v>
      </c>
    </row>
    <row r="15" spans="1:26" ht="15" customHeight="1">
      <c r="A15" s="3"/>
      <c r="B15" s="3"/>
      <c r="C15" s="3"/>
      <c r="D15" s="7"/>
    </row>
    <row r="16" spans="1:26" ht="15" customHeight="1">
      <c r="B16" s="12"/>
    </row>
    <row r="17" spans="2:2" ht="15" customHeight="1">
      <c r="B17" s="12"/>
    </row>
    <row r="18" spans="2:2" ht="15" customHeight="1">
      <c r="B18" s="12"/>
    </row>
    <row r="19" spans="2:2" ht="15" customHeight="1">
      <c r="B19" s="12"/>
    </row>
    <row r="20" spans="2:2" ht="15" customHeight="1">
      <c r="B20" s="12"/>
    </row>
    <row r="21" spans="2:2" ht="15" customHeight="1">
      <c r="B21" s="12"/>
    </row>
    <row r="22" spans="2:2" ht="15" customHeight="1">
      <c r="B22" s="12"/>
    </row>
    <row r="23" spans="2:2" ht="15" customHeight="1">
      <c r="B23" s="12"/>
    </row>
    <row r="24" spans="2:2" ht="15" customHeight="1">
      <c r="B24" s="12"/>
    </row>
    <row r="25" spans="2:2" ht="15" customHeight="1">
      <c r="B25" s="12"/>
    </row>
    <row r="26" spans="2:2" ht="15" customHeight="1">
      <c r="B26" s="1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A9A1F-761B-4573-91BC-780AD2F79F48}">
  <dimension ref="A1:BD26"/>
  <sheetViews>
    <sheetView tabSelected="1" topLeftCell="AK1" zoomScale="70" zoomScaleNormal="70" workbookViewId="0">
      <selection activeCell="AX7" sqref="AX7"/>
    </sheetView>
  </sheetViews>
  <sheetFormatPr defaultRowHeight="14.45"/>
  <cols>
    <col min="1" max="1" width="21.28515625" style="4" customWidth="1"/>
    <col min="2" max="3" width="12.7109375" style="4" customWidth="1"/>
    <col min="4" max="4" width="12.5703125" style="4" customWidth="1"/>
    <col min="5" max="5" width="8.7109375" style="4"/>
    <col min="6" max="6" width="8.7109375" style="3"/>
    <col min="7" max="8" width="8.7109375" style="4"/>
    <col min="9" max="9" width="8.7109375" style="12"/>
  </cols>
  <sheetData>
    <row r="1" spans="1:56">
      <c r="A1" s="3" t="s">
        <v>101</v>
      </c>
      <c r="B1" s="3" t="s">
        <v>71</v>
      </c>
      <c r="C1" s="3" t="s">
        <v>81</v>
      </c>
      <c r="D1" s="3" t="s">
        <v>102</v>
      </c>
      <c r="E1" s="3" t="s">
        <v>11</v>
      </c>
      <c r="F1" s="3" t="s">
        <v>72</v>
      </c>
      <c r="G1" s="31">
        <v>45968</v>
      </c>
      <c r="H1" s="31">
        <v>45970</v>
      </c>
      <c r="I1" s="32">
        <v>45975</v>
      </c>
      <c r="J1" s="7">
        <v>45976</v>
      </c>
      <c r="K1" s="6">
        <v>45983</v>
      </c>
      <c r="L1" s="6">
        <v>45985</v>
      </c>
      <c r="M1" s="6">
        <v>45987</v>
      </c>
      <c r="N1" s="6">
        <v>45990</v>
      </c>
      <c r="O1" s="6">
        <v>45992</v>
      </c>
      <c r="P1" s="6">
        <v>45996</v>
      </c>
      <c r="Q1" s="6">
        <v>45997</v>
      </c>
      <c r="R1" s="6">
        <v>46000</v>
      </c>
      <c r="S1" s="6">
        <v>46001</v>
      </c>
      <c r="T1" s="6">
        <v>46003</v>
      </c>
      <c r="U1" s="6">
        <v>46011</v>
      </c>
      <c r="V1" s="6">
        <v>46013</v>
      </c>
      <c r="W1" s="6">
        <v>46019</v>
      </c>
      <c r="X1" s="6">
        <v>45659</v>
      </c>
      <c r="Y1" s="6">
        <v>45661</v>
      </c>
      <c r="Z1" s="6">
        <v>45663</v>
      </c>
      <c r="AA1" s="6">
        <v>45665</v>
      </c>
      <c r="AB1" s="6">
        <v>45666</v>
      </c>
      <c r="AC1" s="6">
        <v>45669</v>
      </c>
      <c r="AD1" s="6">
        <v>45671</v>
      </c>
      <c r="AE1" s="6">
        <v>46040</v>
      </c>
      <c r="AF1" s="6">
        <v>46041</v>
      </c>
      <c r="AG1" s="6">
        <v>46043</v>
      </c>
      <c r="AH1" s="6">
        <v>46045</v>
      </c>
      <c r="AI1" s="6">
        <v>46048</v>
      </c>
      <c r="AJ1" s="6">
        <v>46050</v>
      </c>
      <c r="AK1" s="6">
        <v>46055</v>
      </c>
      <c r="AL1" s="6">
        <v>46058</v>
      </c>
      <c r="AM1" s="6">
        <v>46059</v>
      </c>
      <c r="AN1" s="6">
        <v>46061</v>
      </c>
      <c r="AO1" s="6">
        <v>46063</v>
      </c>
      <c r="AP1" s="6">
        <v>46065</v>
      </c>
      <c r="AQ1" s="6">
        <v>46072</v>
      </c>
      <c r="AR1" s="6">
        <v>46073</v>
      </c>
      <c r="AS1" s="6">
        <v>46078</v>
      </c>
      <c r="AT1" s="6">
        <v>46079</v>
      </c>
      <c r="AU1" s="6">
        <v>46082</v>
      </c>
      <c r="AV1" s="6">
        <v>46085</v>
      </c>
      <c r="AW1" s="6">
        <v>46087</v>
      </c>
      <c r="AX1" s="6">
        <v>46096</v>
      </c>
      <c r="AY1" s="6">
        <v>46098</v>
      </c>
      <c r="AZ1" s="6">
        <v>46100</v>
      </c>
      <c r="BA1" s="6">
        <v>46103</v>
      </c>
      <c r="BB1" s="6">
        <v>46105</v>
      </c>
      <c r="BC1" s="6">
        <v>46106</v>
      </c>
      <c r="BD1" s="6">
        <v>46109</v>
      </c>
    </row>
    <row r="2" spans="1:56">
      <c r="A2" s="4" t="s">
        <v>35</v>
      </c>
      <c r="B2" s="4">
        <f>C2+SUM(G2:BD2)</f>
        <v>935</v>
      </c>
      <c r="C2" s="4">
        <v>683</v>
      </c>
      <c r="D2" s="4">
        <v>171</v>
      </c>
      <c r="E2" s="4">
        <f>D2+SUM(G2:BD2)</f>
        <v>423</v>
      </c>
      <c r="F2" s="4">
        <f>SUM(G2:AI2)</f>
        <v>91</v>
      </c>
      <c r="G2" s="30">
        <v>0</v>
      </c>
      <c r="H2" s="30">
        <v>4</v>
      </c>
      <c r="I2" s="33">
        <v>0</v>
      </c>
      <c r="J2" s="19"/>
      <c r="K2" s="4">
        <v>0</v>
      </c>
      <c r="L2" s="4">
        <v>2</v>
      </c>
      <c r="M2" s="4">
        <v>6</v>
      </c>
      <c r="N2">
        <v>6</v>
      </c>
      <c r="O2">
        <v>2</v>
      </c>
      <c r="P2">
        <v>4</v>
      </c>
      <c r="Q2">
        <v>2</v>
      </c>
      <c r="R2" s="19"/>
      <c r="S2">
        <v>10</v>
      </c>
      <c r="T2" s="19"/>
      <c r="U2">
        <v>6</v>
      </c>
      <c r="V2">
        <v>0</v>
      </c>
      <c r="W2">
        <v>6</v>
      </c>
      <c r="X2">
        <v>4</v>
      </c>
      <c r="Y2">
        <v>4</v>
      </c>
      <c r="Z2">
        <v>2</v>
      </c>
      <c r="AA2">
        <v>2</v>
      </c>
      <c r="AB2">
        <v>2</v>
      </c>
      <c r="AC2">
        <v>17</v>
      </c>
      <c r="AD2">
        <v>4</v>
      </c>
      <c r="AE2">
        <v>2</v>
      </c>
      <c r="AF2" s="19"/>
      <c r="AG2">
        <v>0</v>
      </c>
      <c r="AH2">
        <v>0</v>
      </c>
      <c r="AI2">
        <v>6</v>
      </c>
      <c r="AJ2">
        <v>14</v>
      </c>
      <c r="AK2">
        <v>6</v>
      </c>
      <c r="AL2">
        <v>4</v>
      </c>
      <c r="AM2">
        <v>6</v>
      </c>
      <c r="AN2">
        <v>2</v>
      </c>
      <c r="AO2">
        <v>4</v>
      </c>
      <c r="AP2">
        <v>8</v>
      </c>
      <c r="AQ2">
        <v>6</v>
      </c>
      <c r="AR2">
        <v>0</v>
      </c>
      <c r="AS2" s="19"/>
      <c r="AT2">
        <v>6</v>
      </c>
      <c r="AU2">
        <v>7</v>
      </c>
      <c r="AV2">
        <v>2</v>
      </c>
      <c r="AW2">
        <v>2</v>
      </c>
      <c r="AX2">
        <v>14</v>
      </c>
      <c r="AY2">
        <v>12</v>
      </c>
      <c r="AZ2">
        <v>12</v>
      </c>
      <c r="BA2">
        <v>20</v>
      </c>
      <c r="BB2">
        <v>12</v>
      </c>
      <c r="BC2">
        <v>16</v>
      </c>
      <c r="BD2">
        <v>8</v>
      </c>
    </row>
    <row r="3" spans="1:56">
      <c r="A3" s="4" t="s">
        <v>25</v>
      </c>
      <c r="B3" s="4">
        <f>C3+SUM(G3:BD3)</f>
        <v>823</v>
      </c>
      <c r="C3" s="4">
        <v>598</v>
      </c>
      <c r="D3" s="4">
        <v>189</v>
      </c>
      <c r="E3" s="4">
        <f>D3+SUM(G3:BD3)</f>
        <v>414</v>
      </c>
      <c r="F3" s="4">
        <f t="shared" ref="F2:F7" si="0">SUM(G3:AI3)</f>
        <v>102</v>
      </c>
      <c r="G3" s="30">
        <v>2</v>
      </c>
      <c r="H3" s="30">
        <v>4</v>
      </c>
      <c r="I3" s="33">
        <v>3</v>
      </c>
      <c r="J3" s="19"/>
      <c r="K3" s="4">
        <v>5</v>
      </c>
      <c r="L3" s="4">
        <v>2</v>
      </c>
      <c r="M3" s="4">
        <v>7</v>
      </c>
      <c r="N3">
        <v>7</v>
      </c>
      <c r="O3">
        <v>4</v>
      </c>
      <c r="P3">
        <v>5</v>
      </c>
      <c r="Q3">
        <v>1</v>
      </c>
      <c r="R3" s="19"/>
      <c r="S3">
        <v>3</v>
      </c>
      <c r="T3" s="19"/>
      <c r="U3">
        <v>4</v>
      </c>
      <c r="V3">
        <v>2</v>
      </c>
      <c r="W3">
        <v>7</v>
      </c>
      <c r="X3">
        <v>4</v>
      </c>
      <c r="Y3">
        <v>1</v>
      </c>
      <c r="Z3">
        <v>5</v>
      </c>
      <c r="AA3">
        <v>5</v>
      </c>
      <c r="AB3">
        <v>3</v>
      </c>
      <c r="AC3">
        <v>8</v>
      </c>
      <c r="AD3">
        <v>6</v>
      </c>
      <c r="AE3">
        <v>7</v>
      </c>
      <c r="AF3" s="19"/>
      <c r="AG3">
        <v>0</v>
      </c>
      <c r="AH3">
        <v>0</v>
      </c>
      <c r="AI3">
        <v>7</v>
      </c>
      <c r="AJ3">
        <v>5</v>
      </c>
      <c r="AK3">
        <v>8</v>
      </c>
      <c r="AL3">
        <v>4</v>
      </c>
      <c r="AM3">
        <v>9</v>
      </c>
      <c r="AN3">
        <v>4</v>
      </c>
      <c r="AO3">
        <v>1</v>
      </c>
      <c r="AP3">
        <v>6</v>
      </c>
      <c r="AQ3">
        <v>8</v>
      </c>
      <c r="AR3">
        <v>2</v>
      </c>
      <c r="AS3" s="19"/>
      <c r="AT3">
        <v>3</v>
      </c>
      <c r="AU3">
        <v>8</v>
      </c>
      <c r="AV3">
        <v>5</v>
      </c>
      <c r="AW3">
        <v>4</v>
      </c>
      <c r="AX3">
        <v>6</v>
      </c>
      <c r="AY3">
        <v>11</v>
      </c>
      <c r="AZ3">
        <v>7</v>
      </c>
      <c r="BA3">
        <v>9</v>
      </c>
      <c r="BB3">
        <v>8</v>
      </c>
      <c r="BC3">
        <v>8</v>
      </c>
      <c r="BD3">
        <v>7</v>
      </c>
    </row>
    <row r="4" spans="1:56">
      <c r="A4" s="4" t="s">
        <v>27</v>
      </c>
      <c r="B4" s="4">
        <f>C4+SUM(G4:BD4)</f>
        <v>153</v>
      </c>
      <c r="C4" s="4">
        <v>110</v>
      </c>
      <c r="D4" s="4">
        <v>22</v>
      </c>
      <c r="E4" s="4">
        <f>D4+SUM(G4:BD4)</f>
        <v>65</v>
      </c>
      <c r="F4" s="4">
        <f t="shared" si="0"/>
        <v>17</v>
      </c>
      <c r="G4" s="30">
        <v>0</v>
      </c>
      <c r="H4" s="30">
        <v>0</v>
      </c>
      <c r="I4" s="33">
        <v>0</v>
      </c>
      <c r="J4" s="19"/>
      <c r="K4" s="4">
        <v>3</v>
      </c>
      <c r="L4" s="4">
        <v>0</v>
      </c>
      <c r="M4" s="4">
        <v>2</v>
      </c>
      <c r="N4">
        <v>1</v>
      </c>
      <c r="O4">
        <v>1</v>
      </c>
      <c r="P4">
        <v>0</v>
      </c>
      <c r="Q4">
        <v>0</v>
      </c>
      <c r="R4" s="19"/>
      <c r="S4">
        <v>0</v>
      </c>
      <c r="T4" s="19"/>
      <c r="U4">
        <v>0</v>
      </c>
      <c r="V4">
        <v>0</v>
      </c>
      <c r="W4">
        <v>2</v>
      </c>
      <c r="X4">
        <v>0</v>
      </c>
      <c r="Y4">
        <v>0</v>
      </c>
      <c r="Z4">
        <v>2</v>
      </c>
      <c r="AA4">
        <v>1</v>
      </c>
      <c r="AB4">
        <v>1</v>
      </c>
      <c r="AC4">
        <v>2</v>
      </c>
      <c r="AD4">
        <v>1</v>
      </c>
      <c r="AE4">
        <v>0</v>
      </c>
      <c r="AF4" s="19"/>
      <c r="AG4">
        <v>0</v>
      </c>
      <c r="AH4">
        <v>0</v>
      </c>
      <c r="AI4">
        <v>1</v>
      </c>
      <c r="AJ4">
        <v>3</v>
      </c>
      <c r="AK4">
        <v>1</v>
      </c>
      <c r="AL4">
        <v>0</v>
      </c>
      <c r="AM4">
        <v>0</v>
      </c>
      <c r="AN4">
        <v>0</v>
      </c>
      <c r="AO4">
        <v>0</v>
      </c>
      <c r="AP4">
        <v>1</v>
      </c>
      <c r="AQ4">
        <v>1</v>
      </c>
      <c r="AR4">
        <v>1</v>
      </c>
      <c r="AS4" s="19"/>
      <c r="AT4">
        <v>1</v>
      </c>
      <c r="AU4">
        <v>2</v>
      </c>
      <c r="AV4">
        <v>0</v>
      </c>
      <c r="AW4">
        <v>0</v>
      </c>
      <c r="AX4">
        <v>1</v>
      </c>
      <c r="AY4">
        <v>3</v>
      </c>
      <c r="AZ4">
        <v>3</v>
      </c>
      <c r="BA4">
        <v>0</v>
      </c>
      <c r="BB4">
        <v>2</v>
      </c>
      <c r="BC4">
        <v>3</v>
      </c>
      <c r="BD4">
        <v>4</v>
      </c>
    </row>
    <row r="5" spans="1:56">
      <c r="A5" s="4" t="s">
        <v>12</v>
      </c>
      <c r="B5" s="4">
        <f>C5+SUM(G5:BD5)</f>
        <v>51</v>
      </c>
      <c r="C5" s="4">
        <v>35</v>
      </c>
      <c r="D5" s="4">
        <v>6</v>
      </c>
      <c r="E5" s="4">
        <f>D5+SUM(G5:BD5)</f>
        <v>22</v>
      </c>
      <c r="F5" s="4">
        <f t="shared" si="0"/>
        <v>8</v>
      </c>
      <c r="G5" s="30">
        <v>1</v>
      </c>
      <c r="H5" s="30">
        <v>0</v>
      </c>
      <c r="I5" s="33">
        <v>0</v>
      </c>
      <c r="J5" s="19"/>
      <c r="K5" s="4">
        <v>0</v>
      </c>
      <c r="L5" s="4">
        <v>0</v>
      </c>
      <c r="M5" s="4">
        <v>0</v>
      </c>
      <c r="N5">
        <v>1</v>
      </c>
      <c r="O5">
        <v>0</v>
      </c>
      <c r="P5">
        <v>0</v>
      </c>
      <c r="Q5">
        <v>1</v>
      </c>
      <c r="R5" s="19"/>
      <c r="S5">
        <v>0</v>
      </c>
      <c r="T5" s="19"/>
      <c r="U5">
        <v>0</v>
      </c>
      <c r="V5">
        <v>1</v>
      </c>
      <c r="W5">
        <v>1</v>
      </c>
      <c r="X5">
        <v>1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 s="19"/>
      <c r="AG5">
        <v>0</v>
      </c>
      <c r="AH5">
        <v>0</v>
      </c>
      <c r="AI5">
        <v>1</v>
      </c>
      <c r="AJ5">
        <v>0</v>
      </c>
      <c r="AK5">
        <v>0</v>
      </c>
      <c r="AL5">
        <v>0</v>
      </c>
      <c r="AM5">
        <v>1</v>
      </c>
      <c r="AN5">
        <v>0</v>
      </c>
      <c r="AO5">
        <v>0</v>
      </c>
      <c r="AP5">
        <v>1</v>
      </c>
      <c r="AQ5">
        <v>1</v>
      </c>
      <c r="AR5">
        <v>0</v>
      </c>
      <c r="AS5" s="19"/>
      <c r="AT5">
        <v>0</v>
      </c>
      <c r="AU5">
        <v>1</v>
      </c>
      <c r="AV5">
        <v>0</v>
      </c>
      <c r="AW5">
        <v>0</v>
      </c>
      <c r="AX5">
        <v>0</v>
      </c>
      <c r="AY5">
        <v>0</v>
      </c>
      <c r="AZ5">
        <v>1</v>
      </c>
      <c r="BA5">
        <v>2</v>
      </c>
      <c r="BB5">
        <v>1</v>
      </c>
      <c r="BC5">
        <v>0</v>
      </c>
      <c r="BD5">
        <v>0</v>
      </c>
    </row>
    <row r="6" spans="1:56">
      <c r="A6" s="4" t="s">
        <v>21</v>
      </c>
      <c r="B6" s="4">
        <f>C6+SUM(G6:BD6)</f>
        <v>194</v>
      </c>
      <c r="C6" s="4">
        <v>148</v>
      </c>
      <c r="D6" s="4">
        <v>50</v>
      </c>
      <c r="E6" s="4">
        <f>D6+SUM(G6:BD6)</f>
        <v>96</v>
      </c>
      <c r="F6" s="4">
        <f>SUM(G6:BD6)</f>
        <v>46</v>
      </c>
      <c r="G6" s="30">
        <v>1</v>
      </c>
      <c r="H6" s="30">
        <v>0</v>
      </c>
      <c r="I6" s="33">
        <v>1</v>
      </c>
      <c r="J6" s="19"/>
      <c r="K6" s="4">
        <v>0</v>
      </c>
      <c r="L6" s="4">
        <v>0</v>
      </c>
      <c r="M6" s="4">
        <v>0</v>
      </c>
      <c r="N6">
        <v>0</v>
      </c>
      <c r="O6">
        <v>1</v>
      </c>
      <c r="P6">
        <v>2</v>
      </c>
      <c r="Q6">
        <v>1</v>
      </c>
      <c r="R6" s="19"/>
      <c r="S6">
        <v>3</v>
      </c>
      <c r="T6" s="19"/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2</v>
      </c>
      <c r="AB6">
        <v>1</v>
      </c>
      <c r="AC6">
        <v>1</v>
      </c>
      <c r="AD6">
        <v>0</v>
      </c>
      <c r="AE6">
        <v>1</v>
      </c>
      <c r="AF6" s="19"/>
      <c r="AG6">
        <v>0</v>
      </c>
      <c r="AH6">
        <v>1</v>
      </c>
      <c r="AI6">
        <v>2</v>
      </c>
      <c r="AJ6">
        <v>1</v>
      </c>
      <c r="AK6">
        <v>3</v>
      </c>
      <c r="AL6">
        <v>0</v>
      </c>
      <c r="AM6">
        <v>2</v>
      </c>
      <c r="AN6">
        <v>1</v>
      </c>
      <c r="AO6">
        <v>0</v>
      </c>
      <c r="AP6">
        <v>1</v>
      </c>
      <c r="AQ6">
        <v>0</v>
      </c>
      <c r="AR6">
        <v>0</v>
      </c>
      <c r="AS6" s="19"/>
      <c r="AT6">
        <v>0</v>
      </c>
      <c r="AU6">
        <v>3</v>
      </c>
      <c r="AV6">
        <v>3</v>
      </c>
      <c r="AW6">
        <v>1</v>
      </c>
      <c r="AX6">
        <v>2</v>
      </c>
      <c r="AY6">
        <v>0</v>
      </c>
      <c r="AZ6">
        <v>3</v>
      </c>
      <c r="BA6">
        <v>3</v>
      </c>
      <c r="BB6">
        <v>0</v>
      </c>
      <c r="BC6">
        <v>5</v>
      </c>
      <c r="BD6">
        <v>0</v>
      </c>
    </row>
    <row r="7" spans="1:56">
      <c r="A7" s="4" t="s">
        <v>73</v>
      </c>
      <c r="B7" s="4">
        <f>C7+SUM(G7:BD7)</f>
        <v>425</v>
      </c>
      <c r="C7" s="4">
        <v>312</v>
      </c>
      <c r="D7" s="4">
        <v>76</v>
      </c>
      <c r="E7" s="4">
        <f>D7+SUM(G7:BD7)</f>
        <v>189</v>
      </c>
      <c r="F7" s="4">
        <f t="shared" si="0"/>
        <v>39</v>
      </c>
      <c r="G7" s="30">
        <v>0</v>
      </c>
      <c r="H7" s="30">
        <v>2</v>
      </c>
      <c r="I7" s="33">
        <v>0</v>
      </c>
      <c r="J7" s="19"/>
      <c r="K7" s="4">
        <v>0</v>
      </c>
      <c r="L7" s="4">
        <v>1</v>
      </c>
      <c r="M7" s="4">
        <v>2</v>
      </c>
      <c r="N7">
        <v>3</v>
      </c>
      <c r="O7">
        <v>1</v>
      </c>
      <c r="P7">
        <v>2</v>
      </c>
      <c r="Q7">
        <v>1</v>
      </c>
      <c r="R7" s="19"/>
      <c r="S7">
        <v>4</v>
      </c>
      <c r="T7" s="19"/>
      <c r="U7">
        <v>3</v>
      </c>
      <c r="V7">
        <v>0</v>
      </c>
      <c r="W7">
        <v>3</v>
      </c>
      <c r="X7">
        <v>2</v>
      </c>
      <c r="Y7">
        <v>2</v>
      </c>
      <c r="Z7">
        <v>1</v>
      </c>
      <c r="AA7">
        <v>0</v>
      </c>
      <c r="AB7">
        <v>1</v>
      </c>
      <c r="AC7">
        <v>6</v>
      </c>
      <c r="AD7">
        <v>2</v>
      </c>
      <c r="AE7">
        <v>1</v>
      </c>
      <c r="AF7" s="19"/>
      <c r="AG7">
        <v>0</v>
      </c>
      <c r="AH7">
        <v>0</v>
      </c>
      <c r="AI7">
        <v>2</v>
      </c>
      <c r="AJ7">
        <v>7</v>
      </c>
      <c r="AK7">
        <v>2</v>
      </c>
      <c r="AL7">
        <v>2</v>
      </c>
      <c r="AM7">
        <v>3</v>
      </c>
      <c r="AN7">
        <v>1</v>
      </c>
      <c r="AO7">
        <v>2</v>
      </c>
      <c r="AP7">
        <v>4</v>
      </c>
      <c r="AQ7">
        <v>3</v>
      </c>
      <c r="AR7">
        <v>0</v>
      </c>
      <c r="AS7" s="19"/>
      <c r="AT7">
        <v>3</v>
      </c>
      <c r="AU7">
        <v>3</v>
      </c>
      <c r="AV7">
        <v>1</v>
      </c>
      <c r="AW7">
        <v>1</v>
      </c>
      <c r="AX7">
        <v>5</v>
      </c>
      <c r="AY7">
        <v>5</v>
      </c>
      <c r="AZ7">
        <v>6</v>
      </c>
      <c r="BA7">
        <v>10</v>
      </c>
      <c r="BB7">
        <v>6</v>
      </c>
      <c r="BC7">
        <v>6</v>
      </c>
      <c r="BD7">
        <v>4</v>
      </c>
    </row>
    <row r="8" spans="1:56">
      <c r="A8" s="4" t="s">
        <v>38</v>
      </c>
      <c r="B8" s="4">
        <f>C8+SUM(G8:BD8)</f>
        <v>0</v>
      </c>
      <c r="C8" s="4">
        <v>0</v>
      </c>
      <c r="D8" s="4">
        <v>0</v>
      </c>
      <c r="E8" s="4">
        <f>D8+SUM(G8:BD8)</f>
        <v>0</v>
      </c>
      <c r="F8" s="4">
        <v>0</v>
      </c>
      <c r="G8" s="30">
        <v>0</v>
      </c>
      <c r="H8" s="30">
        <v>0</v>
      </c>
      <c r="I8" s="33">
        <v>0</v>
      </c>
      <c r="J8" s="19"/>
      <c r="K8" s="4">
        <v>0</v>
      </c>
      <c r="L8" s="4">
        <v>0</v>
      </c>
      <c r="M8" s="4">
        <v>0</v>
      </c>
      <c r="N8">
        <v>0</v>
      </c>
      <c r="O8">
        <v>0</v>
      </c>
      <c r="P8">
        <v>0</v>
      </c>
      <c r="Q8">
        <v>0</v>
      </c>
      <c r="R8" s="19"/>
      <c r="S8">
        <v>0</v>
      </c>
      <c r="T8" s="19"/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 s="19"/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 s="19"/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>
      <c r="A9" s="4" t="s">
        <v>74</v>
      </c>
      <c r="B9" s="4">
        <f>C9+SUM(G9:BD9)</f>
        <v>15</v>
      </c>
      <c r="C9" s="4">
        <v>14</v>
      </c>
      <c r="D9" s="4">
        <v>2</v>
      </c>
      <c r="E9" s="4">
        <f>D9+SUM(G9:BD9)</f>
        <v>3</v>
      </c>
      <c r="F9" s="4">
        <f>SUM(G9:AI9)</f>
        <v>0</v>
      </c>
      <c r="G9" s="30">
        <v>0</v>
      </c>
      <c r="H9" s="30">
        <v>0</v>
      </c>
      <c r="I9" s="33">
        <v>0</v>
      </c>
      <c r="J9" s="19"/>
      <c r="K9" s="4">
        <v>0</v>
      </c>
      <c r="L9" s="4">
        <v>0</v>
      </c>
      <c r="M9" s="4">
        <v>0</v>
      </c>
      <c r="N9">
        <v>0</v>
      </c>
      <c r="O9">
        <v>0</v>
      </c>
      <c r="P9">
        <v>0</v>
      </c>
      <c r="Q9">
        <v>0</v>
      </c>
      <c r="R9" s="19"/>
      <c r="S9">
        <v>0</v>
      </c>
      <c r="T9" s="19"/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 s="19"/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 s="19"/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>
      <c r="A10" s="4" t="s">
        <v>75</v>
      </c>
      <c r="B10" s="8">
        <f>C10+SUM(G10:BD10)</f>
        <v>2607.19</v>
      </c>
      <c r="C10" s="15">
        <v>1859.8</v>
      </c>
      <c r="D10" s="16">
        <v>560</v>
      </c>
      <c r="E10" s="15">
        <f>D10+SUM(G10:BD10)</f>
        <v>1307.3900000000001</v>
      </c>
      <c r="F10" s="4">
        <v>28.8</v>
      </c>
      <c r="G10" s="34" t="s">
        <v>103</v>
      </c>
      <c r="H10" s="34" t="s">
        <v>104</v>
      </c>
      <c r="I10" s="35" t="s">
        <v>105</v>
      </c>
      <c r="J10" s="19"/>
      <c r="K10" s="4">
        <v>12.35</v>
      </c>
      <c r="L10" s="4">
        <v>6.28</v>
      </c>
      <c r="M10" s="4">
        <v>16.32</v>
      </c>
      <c r="N10">
        <v>27.19</v>
      </c>
      <c r="O10">
        <v>15.21</v>
      </c>
      <c r="P10">
        <v>15.52</v>
      </c>
      <c r="Q10">
        <v>10.24</v>
      </c>
      <c r="R10" s="19"/>
      <c r="S10">
        <v>20.18</v>
      </c>
      <c r="T10" s="19"/>
      <c r="U10">
        <v>15.01</v>
      </c>
      <c r="V10">
        <v>6.55</v>
      </c>
      <c r="W10">
        <v>18.010000000000002</v>
      </c>
      <c r="X10">
        <v>12.55</v>
      </c>
      <c r="Y10">
        <v>5.36</v>
      </c>
      <c r="Z10">
        <v>15.35</v>
      </c>
      <c r="AA10">
        <v>10.1</v>
      </c>
      <c r="AB10">
        <v>9.23</v>
      </c>
      <c r="AC10">
        <v>26.24</v>
      </c>
      <c r="AD10">
        <v>14.48</v>
      </c>
      <c r="AE10">
        <v>10.35</v>
      </c>
      <c r="AF10" s="19"/>
      <c r="AG10">
        <v>3.03</v>
      </c>
      <c r="AH10">
        <v>4.04</v>
      </c>
      <c r="AI10">
        <v>22.53</v>
      </c>
      <c r="AJ10">
        <v>20.43</v>
      </c>
      <c r="AK10">
        <v>17.190000000000001</v>
      </c>
      <c r="AL10">
        <v>9.41</v>
      </c>
      <c r="AM10">
        <v>19.510000000000002</v>
      </c>
      <c r="AN10">
        <v>6.19</v>
      </c>
      <c r="AO10">
        <v>11.46</v>
      </c>
      <c r="AP10">
        <v>22.38</v>
      </c>
      <c r="AQ10">
        <v>23.12</v>
      </c>
      <c r="AR10">
        <v>14.17</v>
      </c>
      <c r="AS10" s="19"/>
      <c r="AT10">
        <v>17.239999999999998</v>
      </c>
      <c r="AU10">
        <v>19.57</v>
      </c>
      <c r="AV10">
        <v>19.36</v>
      </c>
      <c r="AW10">
        <v>12.14</v>
      </c>
      <c r="AX10">
        <v>35.270000000000003</v>
      </c>
      <c r="AY10">
        <v>31.1</v>
      </c>
      <c r="AZ10">
        <v>37.159999999999997</v>
      </c>
      <c r="BA10">
        <v>37.090000000000003</v>
      </c>
      <c r="BB10">
        <v>29.35</v>
      </c>
      <c r="BC10">
        <v>33.130000000000003</v>
      </c>
      <c r="BD10">
        <v>36</v>
      </c>
    </row>
    <row r="11" spans="1:56">
      <c r="A11" s="4" t="s">
        <v>78</v>
      </c>
      <c r="B11" s="4">
        <f>C11+SUM(G11:BD11)</f>
        <v>50</v>
      </c>
      <c r="C11" s="4">
        <v>35</v>
      </c>
      <c r="D11" s="4">
        <v>10</v>
      </c>
      <c r="E11" s="4">
        <f>D11+SUM(G11:BD11)</f>
        <v>25</v>
      </c>
      <c r="F11" s="4">
        <f>SUM(G11:AI11)</f>
        <v>7</v>
      </c>
      <c r="G11" s="30">
        <v>0</v>
      </c>
      <c r="H11" s="30">
        <v>0</v>
      </c>
      <c r="I11" s="33">
        <v>0</v>
      </c>
      <c r="J11" s="19"/>
      <c r="K11" s="4">
        <v>0</v>
      </c>
      <c r="L11" s="4">
        <v>0</v>
      </c>
      <c r="M11" s="4">
        <v>1</v>
      </c>
      <c r="N11">
        <v>0</v>
      </c>
      <c r="O11">
        <v>0</v>
      </c>
      <c r="P11">
        <v>0</v>
      </c>
      <c r="Q11">
        <v>0</v>
      </c>
      <c r="R11" s="19"/>
      <c r="S11">
        <v>1</v>
      </c>
      <c r="T11" s="19"/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3</v>
      </c>
      <c r="AD11">
        <v>0</v>
      </c>
      <c r="AE11">
        <v>0</v>
      </c>
      <c r="AF11" s="19"/>
      <c r="AG11">
        <v>0</v>
      </c>
      <c r="AH11">
        <v>0</v>
      </c>
      <c r="AI11">
        <v>1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 s="19"/>
      <c r="AT11">
        <v>0</v>
      </c>
      <c r="AU11">
        <v>1</v>
      </c>
      <c r="AV11">
        <v>0</v>
      </c>
      <c r="AW11">
        <v>0</v>
      </c>
      <c r="AX11">
        <v>2</v>
      </c>
      <c r="AY11">
        <v>1</v>
      </c>
      <c r="AZ11">
        <v>0</v>
      </c>
      <c r="BA11">
        <v>0</v>
      </c>
      <c r="BB11">
        <v>0</v>
      </c>
      <c r="BC11">
        <v>3</v>
      </c>
      <c r="BD11">
        <v>0</v>
      </c>
    </row>
    <row r="12" spans="1:56">
      <c r="A12" s="4" t="s">
        <v>79</v>
      </c>
      <c r="B12" s="4">
        <f>C12+SUM(G12:BD12)</f>
        <v>131</v>
      </c>
      <c r="C12" s="4">
        <v>86</v>
      </c>
      <c r="D12" s="4">
        <v>38</v>
      </c>
      <c r="E12" s="4">
        <f>D12+SUM(G12:BD12)</f>
        <v>83</v>
      </c>
      <c r="F12" s="4">
        <f>SUM(G12:AI12)</f>
        <v>25</v>
      </c>
      <c r="G12" s="30">
        <v>1</v>
      </c>
      <c r="H12" s="30">
        <v>1</v>
      </c>
      <c r="I12" s="33">
        <v>1</v>
      </c>
      <c r="J12" s="19"/>
      <c r="K12" s="4">
        <v>1</v>
      </c>
      <c r="L12" s="4">
        <v>1</v>
      </c>
      <c r="M12" s="4">
        <v>1</v>
      </c>
      <c r="N12">
        <v>1</v>
      </c>
      <c r="O12">
        <v>1</v>
      </c>
      <c r="P12">
        <v>1</v>
      </c>
      <c r="Q12">
        <v>1</v>
      </c>
      <c r="R12" s="19"/>
      <c r="S12">
        <v>1</v>
      </c>
      <c r="T12" s="19"/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 s="19"/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 s="19"/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</row>
    <row r="15" spans="1:56" ht="15">
      <c r="A15" s="3" t="s">
        <v>68</v>
      </c>
      <c r="B15" s="3" t="s">
        <v>71</v>
      </c>
      <c r="C15" s="3" t="s">
        <v>106</v>
      </c>
      <c r="D15" s="3" t="s">
        <v>72</v>
      </c>
      <c r="E15" s="7">
        <v>46113</v>
      </c>
    </row>
    <row r="16" spans="1:56" ht="15">
      <c r="A16" s="4" t="s">
        <v>35</v>
      </c>
      <c r="B16" s="4">
        <f>C16+SUM(E16:BD16)</f>
        <v>30</v>
      </c>
      <c r="C16" s="4">
        <v>26</v>
      </c>
      <c r="D16" s="4">
        <f>SUM(E16:AI16)</f>
        <v>4</v>
      </c>
      <c r="E16" s="4">
        <v>4</v>
      </c>
    </row>
    <row r="17" spans="1:8">
      <c r="A17" s="4" t="s">
        <v>25</v>
      </c>
      <c r="B17" s="4">
        <f t="shared" ref="B17:B26" si="1">C17+SUM(E17:BD17)</f>
        <v>27</v>
      </c>
      <c r="C17" s="4">
        <v>25</v>
      </c>
      <c r="D17" s="4">
        <f>SUM(E17:AI17)</f>
        <v>2</v>
      </c>
      <c r="E17" s="4">
        <v>2</v>
      </c>
    </row>
    <row r="18" spans="1:8">
      <c r="A18" s="4" t="s">
        <v>27</v>
      </c>
      <c r="B18" s="4">
        <f t="shared" si="1"/>
        <v>2</v>
      </c>
      <c r="C18" s="4">
        <v>1</v>
      </c>
      <c r="D18" s="4">
        <f t="shared" ref="D17:D26" si="2">SUM(E18:AI18)</f>
        <v>1</v>
      </c>
      <c r="E18" s="4">
        <v>1</v>
      </c>
    </row>
    <row r="19" spans="1:8">
      <c r="A19" s="4" t="s">
        <v>12</v>
      </c>
      <c r="B19" s="4">
        <f t="shared" si="1"/>
        <v>3</v>
      </c>
      <c r="C19" s="4">
        <v>3</v>
      </c>
      <c r="D19" s="4">
        <f t="shared" si="2"/>
        <v>0</v>
      </c>
      <c r="E19" s="4">
        <v>0</v>
      </c>
    </row>
    <row r="20" spans="1:8">
      <c r="A20" s="4" t="s">
        <v>21</v>
      </c>
      <c r="B20" s="4">
        <f t="shared" si="1"/>
        <v>7</v>
      </c>
      <c r="C20" s="4">
        <v>6</v>
      </c>
      <c r="D20" s="4">
        <f t="shared" si="2"/>
        <v>1</v>
      </c>
      <c r="E20" s="4">
        <v>1</v>
      </c>
    </row>
    <row r="21" spans="1:8">
      <c r="A21" s="4" t="s">
        <v>73</v>
      </c>
      <c r="B21" s="4">
        <f t="shared" si="1"/>
        <v>15</v>
      </c>
      <c r="C21" s="4">
        <v>13</v>
      </c>
      <c r="D21" s="4">
        <f t="shared" si="2"/>
        <v>2</v>
      </c>
      <c r="E21" s="4">
        <v>2</v>
      </c>
      <c r="H21" s="3"/>
    </row>
    <row r="22" spans="1:8">
      <c r="A22" s="4" t="s">
        <v>38</v>
      </c>
      <c r="B22" s="4">
        <f t="shared" si="1"/>
        <v>0</v>
      </c>
      <c r="C22" s="4">
        <v>0</v>
      </c>
      <c r="D22" s="4">
        <f t="shared" si="2"/>
        <v>0</v>
      </c>
      <c r="E22" s="4">
        <v>0</v>
      </c>
    </row>
    <row r="23" spans="1:8">
      <c r="A23" s="4" t="s">
        <v>74</v>
      </c>
      <c r="B23" s="4">
        <f t="shared" si="1"/>
        <v>0</v>
      </c>
      <c r="C23" s="4">
        <v>0</v>
      </c>
      <c r="D23" s="4">
        <f t="shared" si="2"/>
        <v>0</v>
      </c>
      <c r="E23" s="4">
        <v>0</v>
      </c>
    </row>
    <row r="24" spans="1:8">
      <c r="A24" s="4" t="s">
        <v>75</v>
      </c>
      <c r="B24" s="4">
        <f t="shared" si="1"/>
        <v>91.45</v>
      </c>
      <c r="C24" s="4">
        <v>75</v>
      </c>
      <c r="D24" s="4">
        <f t="shared" si="2"/>
        <v>16.45</v>
      </c>
      <c r="E24" s="4">
        <v>16.45</v>
      </c>
    </row>
    <row r="25" spans="1:8">
      <c r="A25" s="4" t="s">
        <v>78</v>
      </c>
      <c r="B25" s="4">
        <f t="shared" si="1"/>
        <v>0</v>
      </c>
      <c r="C25" s="4">
        <v>0</v>
      </c>
      <c r="D25" s="4">
        <f t="shared" si="2"/>
        <v>0</v>
      </c>
      <c r="E25" s="4">
        <v>0</v>
      </c>
    </row>
    <row r="26" spans="1:8">
      <c r="A26" s="4" t="s">
        <v>79</v>
      </c>
      <c r="B26" s="4">
        <f t="shared" si="1"/>
        <v>4</v>
      </c>
      <c r="C26" s="4">
        <v>3</v>
      </c>
      <c r="D26" s="4">
        <f t="shared" si="2"/>
        <v>1</v>
      </c>
      <c r="E26" s="4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EE357-A457-48E8-8F04-6B21BC146FCE}">
  <dimension ref="A1:AR12"/>
  <sheetViews>
    <sheetView zoomScale="95" zoomScaleNormal="95" zoomScaleSheetLayoutView="30" workbookViewId="0">
      <selection activeCell="B5" sqref="B5"/>
    </sheetView>
  </sheetViews>
  <sheetFormatPr defaultRowHeight="14.45"/>
  <cols>
    <col min="1" max="1" width="21.28515625" style="4" customWidth="1"/>
    <col min="2" max="2" width="12.7109375" style="4" customWidth="1"/>
    <col min="3" max="6" width="8.7109375" style="4"/>
    <col min="7" max="8" width="9.140625" style="4"/>
  </cols>
  <sheetData>
    <row r="1" spans="1:44">
      <c r="A1" s="3" t="s">
        <v>107</v>
      </c>
      <c r="B1" s="3" t="s">
        <v>71</v>
      </c>
      <c r="C1" s="3" t="s">
        <v>11</v>
      </c>
      <c r="D1" s="3" t="s">
        <v>72</v>
      </c>
      <c r="E1" s="7">
        <v>45968</v>
      </c>
      <c r="F1" s="7">
        <v>45970</v>
      </c>
      <c r="G1" s="7">
        <v>45975</v>
      </c>
      <c r="H1" s="7">
        <v>45976</v>
      </c>
      <c r="I1" s="6">
        <v>45983</v>
      </c>
      <c r="J1" s="6">
        <v>45985</v>
      </c>
      <c r="K1" s="6">
        <v>45987</v>
      </c>
      <c r="L1" s="6">
        <v>45990</v>
      </c>
      <c r="M1" s="6">
        <v>45992</v>
      </c>
      <c r="N1" s="6">
        <v>45996</v>
      </c>
      <c r="O1" s="6">
        <v>45997</v>
      </c>
      <c r="P1" s="6">
        <v>46000</v>
      </c>
      <c r="Q1" s="6">
        <v>46003</v>
      </c>
      <c r="R1" s="6">
        <v>46011</v>
      </c>
      <c r="S1" s="6">
        <v>46013</v>
      </c>
      <c r="T1" s="6">
        <v>46019</v>
      </c>
      <c r="U1" s="6">
        <v>45659</v>
      </c>
      <c r="V1" s="6">
        <v>45661</v>
      </c>
      <c r="W1" s="6">
        <v>45663</v>
      </c>
      <c r="X1" s="6">
        <v>45665</v>
      </c>
      <c r="Y1" s="6">
        <v>45666</v>
      </c>
      <c r="Z1" s="6">
        <v>45669</v>
      </c>
      <c r="AA1" s="6">
        <v>45671</v>
      </c>
      <c r="AB1" s="6">
        <v>46040</v>
      </c>
      <c r="AC1" s="6">
        <v>46041</v>
      </c>
      <c r="AD1" s="6">
        <v>46043</v>
      </c>
      <c r="AE1" s="6">
        <v>46045</v>
      </c>
      <c r="AF1" s="6">
        <v>46048</v>
      </c>
      <c r="AG1" s="6">
        <v>46050</v>
      </c>
      <c r="AH1" s="6">
        <v>46055</v>
      </c>
      <c r="AI1" s="6">
        <v>46058</v>
      </c>
      <c r="AJ1" s="6">
        <v>46059</v>
      </c>
      <c r="AK1" s="6">
        <v>46061</v>
      </c>
      <c r="AL1" s="6">
        <v>46063</v>
      </c>
      <c r="AM1" s="6">
        <v>46065</v>
      </c>
      <c r="AN1" s="6">
        <v>46072</v>
      </c>
      <c r="AO1" s="6">
        <v>46073</v>
      </c>
      <c r="AP1" s="6">
        <v>46078</v>
      </c>
      <c r="AQ1" s="6">
        <v>46079</v>
      </c>
      <c r="AR1" s="6"/>
    </row>
    <row r="2" spans="1:44">
      <c r="A2" s="4" t="s">
        <v>35</v>
      </c>
      <c r="B2" s="4">
        <f>SUM(E2:AZ2)</f>
        <v>255</v>
      </c>
      <c r="C2" s="4">
        <f>SUM(E2:AZ2)</f>
        <v>255</v>
      </c>
      <c r="D2" s="4">
        <f>SUM(E2:AZ2)</f>
        <v>255</v>
      </c>
      <c r="E2" s="18"/>
      <c r="F2" s="4">
        <v>8</v>
      </c>
      <c r="G2" s="4">
        <v>7</v>
      </c>
      <c r="H2" s="4">
        <v>11</v>
      </c>
      <c r="I2" s="4">
        <v>8</v>
      </c>
      <c r="J2" s="4">
        <v>2</v>
      </c>
      <c r="K2" s="4">
        <v>2</v>
      </c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22"/>
      <c r="X2" s="19"/>
      <c r="Y2">
        <v>2</v>
      </c>
      <c r="Z2">
        <v>21</v>
      </c>
      <c r="AA2">
        <v>9</v>
      </c>
      <c r="AB2" s="19"/>
      <c r="AC2">
        <v>10</v>
      </c>
      <c r="AD2">
        <v>14</v>
      </c>
      <c r="AE2">
        <v>20</v>
      </c>
      <c r="AF2">
        <v>11</v>
      </c>
      <c r="AG2">
        <v>8</v>
      </c>
      <c r="AH2">
        <v>11</v>
      </c>
      <c r="AI2">
        <v>21</v>
      </c>
      <c r="AJ2" s="19"/>
      <c r="AK2">
        <v>7</v>
      </c>
      <c r="AL2">
        <v>10</v>
      </c>
      <c r="AM2">
        <v>18</v>
      </c>
      <c r="AN2">
        <v>14</v>
      </c>
      <c r="AO2">
        <v>14</v>
      </c>
      <c r="AP2">
        <v>10</v>
      </c>
      <c r="AQ2">
        <v>17</v>
      </c>
    </row>
    <row r="3" spans="1:44">
      <c r="A3" s="4" t="s">
        <v>25</v>
      </c>
      <c r="B3" s="4">
        <f>+SUM(E3:AZ3)</f>
        <v>137</v>
      </c>
      <c r="C3" s="4">
        <f>SUM(E3:AZ3)</f>
        <v>137</v>
      </c>
      <c r="D3" s="4">
        <f>SUM(E3:AZ3)</f>
        <v>137</v>
      </c>
      <c r="E3" s="18"/>
      <c r="F3" s="4">
        <v>7</v>
      </c>
      <c r="G3" s="4">
        <v>4</v>
      </c>
      <c r="H3" s="4">
        <v>5</v>
      </c>
      <c r="I3" s="4">
        <v>5</v>
      </c>
      <c r="J3" s="4">
        <v>2</v>
      </c>
      <c r="K3" s="4">
        <v>2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22"/>
      <c r="X3" s="19"/>
      <c r="Y3">
        <v>6</v>
      </c>
      <c r="Z3">
        <v>7</v>
      </c>
      <c r="AA3">
        <v>5</v>
      </c>
      <c r="AB3" s="19"/>
      <c r="AC3">
        <v>4</v>
      </c>
      <c r="AD3">
        <v>8</v>
      </c>
      <c r="AE3">
        <v>6</v>
      </c>
      <c r="AF3">
        <v>8</v>
      </c>
      <c r="AG3">
        <v>5</v>
      </c>
      <c r="AH3">
        <v>6</v>
      </c>
      <c r="AI3">
        <v>7</v>
      </c>
      <c r="AJ3" s="19"/>
      <c r="AK3">
        <v>7</v>
      </c>
      <c r="AL3">
        <v>5</v>
      </c>
      <c r="AM3">
        <v>9</v>
      </c>
      <c r="AN3">
        <v>4</v>
      </c>
      <c r="AO3">
        <v>12</v>
      </c>
      <c r="AP3">
        <v>8</v>
      </c>
      <c r="AQ3">
        <v>5</v>
      </c>
    </row>
    <row r="4" spans="1:44">
      <c r="A4" s="4" t="s">
        <v>27</v>
      </c>
      <c r="B4" s="4">
        <f>+SUM(E4:AZ4)</f>
        <v>27</v>
      </c>
      <c r="C4" s="4">
        <f>SUM(E4:AZ4)</f>
        <v>27</v>
      </c>
      <c r="D4" s="4">
        <f>SUM(E4:AZ4)</f>
        <v>27</v>
      </c>
      <c r="E4" s="18"/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2</v>
      </c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22"/>
      <c r="X4" s="19"/>
      <c r="Y4">
        <v>0</v>
      </c>
      <c r="Z4">
        <v>2</v>
      </c>
      <c r="AA4">
        <v>0</v>
      </c>
      <c r="AB4" s="19"/>
      <c r="AC4">
        <v>1</v>
      </c>
      <c r="AD4">
        <v>0</v>
      </c>
      <c r="AE4">
        <v>0</v>
      </c>
      <c r="AF4">
        <v>2</v>
      </c>
      <c r="AG4">
        <v>1</v>
      </c>
      <c r="AH4">
        <v>3</v>
      </c>
      <c r="AI4">
        <v>3</v>
      </c>
      <c r="AJ4" s="19"/>
      <c r="AK4">
        <v>4</v>
      </c>
      <c r="AL4">
        <v>0</v>
      </c>
      <c r="AM4">
        <v>1</v>
      </c>
      <c r="AN4">
        <v>2</v>
      </c>
      <c r="AO4">
        <v>3</v>
      </c>
      <c r="AP4">
        <v>0</v>
      </c>
      <c r="AQ4">
        <v>3</v>
      </c>
    </row>
    <row r="5" spans="1:44">
      <c r="A5" s="4" t="s">
        <v>12</v>
      </c>
      <c r="B5" s="4">
        <f>+SUM(E5:AZ5)</f>
        <v>11</v>
      </c>
      <c r="C5" s="4">
        <f>SUM(E5:AZ5)</f>
        <v>11</v>
      </c>
      <c r="D5" s="4">
        <f>SUM(E5:AZ5)</f>
        <v>11</v>
      </c>
      <c r="E5" s="18"/>
      <c r="F5" s="4">
        <v>1</v>
      </c>
      <c r="G5" s="4">
        <v>1</v>
      </c>
      <c r="H5" s="4">
        <v>0</v>
      </c>
      <c r="I5" s="4">
        <v>1</v>
      </c>
      <c r="J5" s="4">
        <v>0</v>
      </c>
      <c r="K5" s="4">
        <v>0</v>
      </c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22"/>
      <c r="X5" s="19"/>
      <c r="Y5">
        <v>0</v>
      </c>
      <c r="Z5">
        <v>0</v>
      </c>
      <c r="AA5">
        <v>0</v>
      </c>
      <c r="AB5" s="19"/>
      <c r="AC5">
        <v>0</v>
      </c>
      <c r="AD5">
        <v>0</v>
      </c>
      <c r="AE5">
        <v>2</v>
      </c>
      <c r="AF5">
        <v>0</v>
      </c>
      <c r="AG5">
        <v>2</v>
      </c>
      <c r="AH5">
        <v>1</v>
      </c>
      <c r="AI5">
        <v>0</v>
      </c>
      <c r="AJ5" s="19"/>
      <c r="AK5">
        <v>2</v>
      </c>
      <c r="AL5">
        <v>0</v>
      </c>
      <c r="AM5">
        <v>1</v>
      </c>
      <c r="AN5">
        <v>0</v>
      </c>
      <c r="AO5">
        <v>0</v>
      </c>
      <c r="AP5">
        <v>0</v>
      </c>
      <c r="AQ5">
        <v>0</v>
      </c>
    </row>
    <row r="6" spans="1:44">
      <c r="A6" s="4" t="s">
        <v>21</v>
      </c>
      <c r="B6" s="4">
        <f>+SUM(E6:AZ6)</f>
        <v>17</v>
      </c>
      <c r="C6" s="4">
        <f>SUM(E6:AZ6)</f>
        <v>17</v>
      </c>
      <c r="D6" s="4">
        <f>SUM(E6:AZ6)</f>
        <v>17</v>
      </c>
      <c r="E6" s="18"/>
      <c r="F6" s="4">
        <v>0</v>
      </c>
      <c r="G6" s="4">
        <v>2</v>
      </c>
      <c r="H6" s="4">
        <v>0</v>
      </c>
      <c r="I6" s="4">
        <v>0</v>
      </c>
      <c r="J6" s="4">
        <v>0</v>
      </c>
      <c r="K6" s="4">
        <v>0</v>
      </c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22"/>
      <c r="X6" s="19"/>
      <c r="Y6">
        <v>1</v>
      </c>
      <c r="Z6">
        <v>0</v>
      </c>
      <c r="AA6">
        <v>0</v>
      </c>
      <c r="AB6" s="19"/>
      <c r="AC6">
        <v>0</v>
      </c>
      <c r="AD6">
        <v>2</v>
      </c>
      <c r="AE6">
        <v>1</v>
      </c>
      <c r="AF6">
        <v>1</v>
      </c>
      <c r="AG6">
        <v>3</v>
      </c>
      <c r="AH6">
        <v>0</v>
      </c>
      <c r="AI6">
        <v>0</v>
      </c>
      <c r="AJ6" s="19"/>
      <c r="AK6">
        <v>0</v>
      </c>
      <c r="AL6">
        <v>4</v>
      </c>
      <c r="AM6">
        <v>0</v>
      </c>
      <c r="AN6">
        <v>1</v>
      </c>
      <c r="AO6">
        <v>1</v>
      </c>
      <c r="AP6">
        <v>1</v>
      </c>
      <c r="AQ6">
        <v>0</v>
      </c>
    </row>
    <row r="7" spans="1:44">
      <c r="A7" s="4" t="s">
        <v>73</v>
      </c>
      <c r="B7" s="4">
        <f>+SUM(E7:AZ7)</f>
        <v>95</v>
      </c>
      <c r="C7" s="4">
        <f>SUM(E7:AZ7)</f>
        <v>95</v>
      </c>
      <c r="D7" s="4">
        <f>SUM(E7:AZ7)</f>
        <v>95</v>
      </c>
      <c r="E7" s="18"/>
      <c r="F7" s="4">
        <v>2</v>
      </c>
      <c r="G7" s="4">
        <v>3</v>
      </c>
      <c r="H7" s="4">
        <v>5</v>
      </c>
      <c r="I7" s="4">
        <v>3</v>
      </c>
      <c r="J7" s="4">
        <v>1</v>
      </c>
      <c r="K7" s="4">
        <v>1</v>
      </c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22"/>
      <c r="X7" s="19"/>
      <c r="Y7">
        <v>1</v>
      </c>
      <c r="Z7">
        <v>9</v>
      </c>
      <c r="AA7">
        <v>4</v>
      </c>
      <c r="AB7" s="19"/>
      <c r="AC7">
        <v>3</v>
      </c>
      <c r="AD7">
        <v>4</v>
      </c>
      <c r="AE7">
        <v>7</v>
      </c>
      <c r="AF7">
        <v>4</v>
      </c>
      <c r="AG7">
        <v>3</v>
      </c>
      <c r="AH7">
        <v>4</v>
      </c>
      <c r="AI7">
        <v>8</v>
      </c>
      <c r="AJ7" s="19"/>
      <c r="AK7">
        <v>2</v>
      </c>
      <c r="AL7">
        <v>4</v>
      </c>
      <c r="AM7">
        <v>6</v>
      </c>
      <c r="AN7">
        <v>6</v>
      </c>
      <c r="AO7">
        <v>3</v>
      </c>
      <c r="AP7">
        <v>5</v>
      </c>
      <c r="AQ7">
        <v>7</v>
      </c>
    </row>
    <row r="8" spans="1:44">
      <c r="A8" s="4" t="s">
        <v>38</v>
      </c>
      <c r="B8" s="4">
        <f>+SUM(E8:AZ8)</f>
        <v>4</v>
      </c>
      <c r="C8" s="4">
        <f>SUM(E8:AZ8)</f>
        <v>4</v>
      </c>
      <c r="D8" s="4">
        <f>SUM(E8:AZ8)</f>
        <v>4</v>
      </c>
      <c r="E8" s="18"/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22"/>
      <c r="X8" s="19"/>
      <c r="Y8">
        <v>0</v>
      </c>
      <c r="Z8">
        <v>0</v>
      </c>
      <c r="AA8">
        <v>0</v>
      </c>
      <c r="AB8" s="19"/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1</v>
      </c>
      <c r="AJ8" s="19"/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</row>
    <row r="9" spans="1:44">
      <c r="A9" s="4" t="s">
        <v>74</v>
      </c>
      <c r="B9" s="4">
        <f>+SUM(E9:AZ9)</f>
        <v>1</v>
      </c>
      <c r="C9" s="4">
        <v>0</v>
      </c>
      <c r="D9" s="4">
        <v>0</v>
      </c>
      <c r="E9" s="18"/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22"/>
      <c r="X9" s="19"/>
      <c r="Y9">
        <v>0</v>
      </c>
      <c r="Z9">
        <v>0</v>
      </c>
      <c r="AA9">
        <v>0</v>
      </c>
      <c r="AB9" s="19"/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 s="19"/>
      <c r="AK9">
        <v>0</v>
      </c>
      <c r="AL9">
        <v>0</v>
      </c>
      <c r="AM9">
        <v>0</v>
      </c>
      <c r="AN9">
        <v>0</v>
      </c>
      <c r="AO9">
        <v>1</v>
      </c>
      <c r="AP9">
        <v>0</v>
      </c>
      <c r="AQ9">
        <v>0</v>
      </c>
    </row>
    <row r="10" spans="1:44">
      <c r="A10" s="4" t="s">
        <v>75</v>
      </c>
      <c r="B10" s="5">
        <f>+SUM(E10:AZ10)</f>
        <v>402.92999999999995</v>
      </c>
      <c r="C10" s="15">
        <f>+SUM(E10:AZ10)</f>
        <v>402.92999999999995</v>
      </c>
      <c r="D10" s="15">
        <f>+SUM(E10:AZ10)</f>
        <v>402.92999999999995</v>
      </c>
      <c r="E10" s="18"/>
      <c r="F10" s="10" t="s">
        <v>108</v>
      </c>
      <c r="G10" s="10" t="s">
        <v>109</v>
      </c>
      <c r="H10" s="4">
        <v>15.13</v>
      </c>
      <c r="I10" s="4">
        <v>17.100000000000001</v>
      </c>
      <c r="J10" s="4">
        <v>10.58</v>
      </c>
      <c r="K10" s="4">
        <v>12.22</v>
      </c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22"/>
      <c r="X10" s="19"/>
      <c r="Y10">
        <v>15.51</v>
      </c>
      <c r="Z10">
        <v>15.34</v>
      </c>
      <c r="AA10">
        <v>16.510000000000002</v>
      </c>
      <c r="AB10" s="19"/>
      <c r="AC10">
        <v>16.05</v>
      </c>
      <c r="AD10">
        <v>17.420000000000002</v>
      </c>
      <c r="AE10">
        <v>18.579999999999998</v>
      </c>
      <c r="AF10">
        <v>19.489999999999998</v>
      </c>
      <c r="AG10">
        <v>20.010000000000002</v>
      </c>
      <c r="AH10">
        <v>20.27</v>
      </c>
      <c r="AI10">
        <v>19.23</v>
      </c>
      <c r="AJ10" s="19"/>
      <c r="AK10">
        <v>21.11</v>
      </c>
      <c r="AL10">
        <v>24.13</v>
      </c>
      <c r="AM10">
        <v>25.22</v>
      </c>
      <c r="AN10">
        <v>21.36</v>
      </c>
      <c r="AO10">
        <v>25.07</v>
      </c>
      <c r="AP10">
        <v>26.57</v>
      </c>
      <c r="AQ10">
        <v>26.03</v>
      </c>
    </row>
    <row r="11" spans="1:44">
      <c r="A11" s="4" t="s">
        <v>78</v>
      </c>
      <c r="B11" s="4">
        <f>+SUM(E11:AZ11)</f>
        <v>38</v>
      </c>
      <c r="C11" s="4">
        <f>SUM(E11:AZ11)</f>
        <v>38</v>
      </c>
      <c r="D11" s="4">
        <f>SUM(E11:AZ11)</f>
        <v>38</v>
      </c>
      <c r="E11" s="18"/>
      <c r="F11" s="4">
        <v>2</v>
      </c>
      <c r="G11" s="4">
        <v>1</v>
      </c>
      <c r="H11" s="4">
        <v>1</v>
      </c>
      <c r="I11" s="4">
        <v>1</v>
      </c>
      <c r="J11" s="4">
        <v>0</v>
      </c>
      <c r="K11" s="4">
        <v>0</v>
      </c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22"/>
      <c r="X11" s="19"/>
      <c r="Y11">
        <v>0</v>
      </c>
      <c r="Z11">
        <v>2</v>
      </c>
      <c r="AA11">
        <v>1</v>
      </c>
      <c r="AB11" s="19"/>
      <c r="AC11">
        <v>3</v>
      </c>
      <c r="AD11">
        <v>3</v>
      </c>
      <c r="AE11">
        <v>4</v>
      </c>
      <c r="AF11">
        <v>2</v>
      </c>
      <c r="AG11">
        <v>1</v>
      </c>
      <c r="AH11">
        <v>1</v>
      </c>
      <c r="AI11">
        <v>2</v>
      </c>
      <c r="AJ11" s="19"/>
      <c r="AK11">
        <v>1</v>
      </c>
      <c r="AL11">
        <v>2</v>
      </c>
      <c r="AM11">
        <v>3</v>
      </c>
      <c r="AN11">
        <v>2</v>
      </c>
      <c r="AO11">
        <v>5</v>
      </c>
      <c r="AP11">
        <v>0</v>
      </c>
      <c r="AQ11">
        <v>1</v>
      </c>
    </row>
    <row r="12" spans="1:44">
      <c r="A12" s="4" t="s">
        <v>79</v>
      </c>
      <c r="B12" s="4">
        <f>+SUM(E12:AZ12)</f>
        <v>23</v>
      </c>
      <c r="C12" s="4">
        <f>SUM(E12:AZ12)</f>
        <v>23</v>
      </c>
      <c r="D12" s="4">
        <f>SUM(E12:AZ12)</f>
        <v>23</v>
      </c>
      <c r="E12" s="18"/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22"/>
      <c r="X12" s="19"/>
      <c r="Y12">
        <v>1</v>
      </c>
      <c r="Z12">
        <v>1</v>
      </c>
      <c r="AA12">
        <v>1</v>
      </c>
      <c r="AB12" s="19"/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 s="19"/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5064F-DCDC-44CB-A9BB-A242F8400DC3}">
  <dimension ref="A1:P26"/>
  <sheetViews>
    <sheetView workbookViewId="0">
      <selection activeCell="D16" sqref="D16"/>
    </sheetView>
  </sheetViews>
  <sheetFormatPr defaultRowHeight="14.45"/>
  <cols>
    <col min="1" max="1" width="21.28515625" style="4" customWidth="1"/>
    <col min="2" max="2" width="12.7109375" style="4" customWidth="1"/>
    <col min="3" max="8" width="9.140625" style="4"/>
  </cols>
  <sheetData>
    <row r="1" spans="1:16">
      <c r="A1" s="3" t="s">
        <v>110</v>
      </c>
      <c r="B1" s="3" t="s">
        <v>71</v>
      </c>
      <c r="C1" s="3" t="s">
        <v>11</v>
      </c>
      <c r="D1" s="3" t="s">
        <v>72</v>
      </c>
      <c r="E1" s="7">
        <v>46000</v>
      </c>
      <c r="F1" s="7">
        <v>46001</v>
      </c>
      <c r="G1" s="7">
        <v>46082</v>
      </c>
      <c r="H1" s="7">
        <v>46085</v>
      </c>
      <c r="I1" s="6">
        <v>46087</v>
      </c>
      <c r="J1" s="6"/>
      <c r="K1" s="6"/>
      <c r="L1" s="6"/>
      <c r="M1" s="6"/>
      <c r="N1" s="6"/>
      <c r="O1" s="6"/>
      <c r="P1" s="6"/>
    </row>
    <row r="2" spans="1:16">
      <c r="A2" s="4" t="s">
        <v>35</v>
      </c>
      <c r="B2" s="4">
        <f>+SUM(E2:AH2)</f>
        <v>59</v>
      </c>
      <c r="C2" s="4">
        <f t="shared" ref="C2:C8" si="0">SUM(E2:AH2)</f>
        <v>59</v>
      </c>
      <c r="D2" s="4">
        <f t="shared" ref="D2:D8" si="1">SUM(E2:AH2)</f>
        <v>59</v>
      </c>
      <c r="E2" s="4">
        <v>8</v>
      </c>
      <c r="F2" s="4">
        <v>6</v>
      </c>
      <c r="G2" s="4">
        <v>13</v>
      </c>
      <c r="H2" s="4">
        <v>21</v>
      </c>
      <c r="I2" s="4">
        <v>11</v>
      </c>
      <c r="J2" s="4"/>
      <c r="K2" s="4"/>
    </row>
    <row r="3" spans="1:16">
      <c r="A3" s="4" t="s">
        <v>25</v>
      </c>
      <c r="B3" s="4">
        <f>+SUM(E3:AH3)</f>
        <v>25</v>
      </c>
      <c r="C3" s="4">
        <f t="shared" si="0"/>
        <v>25</v>
      </c>
      <c r="D3" s="4">
        <f t="shared" si="1"/>
        <v>25</v>
      </c>
      <c r="E3" s="4">
        <v>7</v>
      </c>
      <c r="F3" s="4">
        <v>3</v>
      </c>
      <c r="G3" s="4">
        <v>7</v>
      </c>
      <c r="H3" s="4">
        <v>3</v>
      </c>
      <c r="I3" s="4">
        <v>5</v>
      </c>
      <c r="J3" s="4"/>
      <c r="K3" s="4"/>
    </row>
    <row r="4" spans="1:16">
      <c r="A4" s="4" t="s">
        <v>27</v>
      </c>
      <c r="B4" s="4">
        <f>+SUM(E4:AH4)</f>
        <v>14</v>
      </c>
      <c r="C4" s="4">
        <f t="shared" si="0"/>
        <v>14</v>
      </c>
      <c r="D4" s="4">
        <f t="shared" si="1"/>
        <v>14</v>
      </c>
      <c r="E4" s="4">
        <v>5</v>
      </c>
      <c r="F4" s="4">
        <v>2</v>
      </c>
      <c r="G4" s="4">
        <v>3</v>
      </c>
      <c r="H4" s="4">
        <v>2</v>
      </c>
      <c r="I4" s="4">
        <v>2</v>
      </c>
      <c r="J4" s="4"/>
      <c r="K4" s="4"/>
    </row>
    <row r="5" spans="1:16">
      <c r="A5" s="4" t="s">
        <v>12</v>
      </c>
      <c r="B5" s="4">
        <f>+SUM(E5:AH5)</f>
        <v>7</v>
      </c>
      <c r="C5" s="4">
        <f t="shared" si="0"/>
        <v>7</v>
      </c>
      <c r="D5" s="4">
        <f t="shared" si="1"/>
        <v>7</v>
      </c>
      <c r="E5" s="4">
        <v>0</v>
      </c>
      <c r="F5" s="4">
        <v>5</v>
      </c>
      <c r="G5" s="4">
        <v>1</v>
      </c>
      <c r="H5" s="4">
        <v>0</v>
      </c>
      <c r="I5" s="4">
        <v>1</v>
      </c>
      <c r="J5" s="4"/>
      <c r="K5" s="4"/>
    </row>
    <row r="6" spans="1:16">
      <c r="A6" s="4" t="s">
        <v>21</v>
      </c>
      <c r="B6" s="4">
        <f>+SUM(E6:AH6)</f>
        <v>3</v>
      </c>
      <c r="C6" s="4">
        <f t="shared" si="0"/>
        <v>3</v>
      </c>
      <c r="D6" s="4">
        <f t="shared" si="1"/>
        <v>3</v>
      </c>
      <c r="E6" s="4">
        <v>1</v>
      </c>
      <c r="F6" s="4">
        <v>0</v>
      </c>
      <c r="G6" s="4">
        <v>0</v>
      </c>
      <c r="H6" s="4">
        <v>1</v>
      </c>
      <c r="I6" s="4">
        <v>1</v>
      </c>
      <c r="J6" s="4"/>
      <c r="K6" s="4"/>
    </row>
    <row r="7" spans="1:16">
      <c r="A7" s="4" t="s">
        <v>73</v>
      </c>
      <c r="B7" s="4">
        <f>+SUM(E7:AH7)</f>
        <v>19</v>
      </c>
      <c r="C7" s="4">
        <f t="shared" si="0"/>
        <v>19</v>
      </c>
      <c r="D7" s="4">
        <f t="shared" si="1"/>
        <v>19</v>
      </c>
      <c r="E7" s="4">
        <v>0</v>
      </c>
      <c r="F7" s="4">
        <v>2</v>
      </c>
      <c r="G7" s="4">
        <v>4</v>
      </c>
      <c r="H7" s="4">
        <v>9</v>
      </c>
      <c r="I7" s="4">
        <v>4</v>
      </c>
      <c r="J7" s="4"/>
      <c r="K7" s="4"/>
    </row>
    <row r="8" spans="1:16">
      <c r="A8" s="4" t="s">
        <v>38</v>
      </c>
      <c r="B8" s="4">
        <f>+SUM(E8:AH8)</f>
        <v>8</v>
      </c>
      <c r="C8" s="4">
        <f t="shared" si="0"/>
        <v>8</v>
      </c>
      <c r="D8" s="4">
        <f t="shared" si="1"/>
        <v>8</v>
      </c>
      <c r="E8" s="4">
        <v>0</v>
      </c>
      <c r="F8" s="4">
        <v>1</v>
      </c>
      <c r="G8" s="4">
        <v>3</v>
      </c>
      <c r="H8" s="4">
        <v>3</v>
      </c>
      <c r="I8" s="4">
        <v>1</v>
      </c>
      <c r="J8" s="4"/>
      <c r="K8" s="4"/>
    </row>
    <row r="9" spans="1:16">
      <c r="A9" s="4" t="s">
        <v>74</v>
      </c>
      <c r="B9" s="4">
        <f>+SUM(E9:AH9)</f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/>
      <c r="K9" s="4"/>
    </row>
    <row r="10" spans="1:16">
      <c r="A10" s="4" t="s">
        <v>75</v>
      </c>
      <c r="B10" s="5">
        <f>+SUM(E10:AH10)</f>
        <v>145.27000000000001</v>
      </c>
      <c r="C10" s="15">
        <v>0</v>
      </c>
      <c r="D10" s="15">
        <v>0</v>
      </c>
      <c r="E10" s="4">
        <v>27.55</v>
      </c>
      <c r="F10" s="10">
        <v>29.29</v>
      </c>
      <c r="G10" s="10">
        <v>28.12</v>
      </c>
      <c r="H10" s="4">
        <v>30.07</v>
      </c>
      <c r="I10" s="4">
        <v>30.24</v>
      </c>
      <c r="J10" s="4"/>
      <c r="K10" s="4"/>
    </row>
    <row r="11" spans="1:16">
      <c r="A11" s="4" t="s">
        <v>78</v>
      </c>
      <c r="B11" s="4">
        <f>+SUM(E11:AH11)</f>
        <v>8</v>
      </c>
      <c r="C11" s="4">
        <f>SUM(E11:AH11)</f>
        <v>8</v>
      </c>
      <c r="D11" s="4">
        <f>SUM(E11:AH11)</f>
        <v>8</v>
      </c>
      <c r="E11" s="4">
        <v>5</v>
      </c>
      <c r="F11" s="4">
        <v>1</v>
      </c>
      <c r="G11" s="4">
        <v>1</v>
      </c>
      <c r="H11" s="4">
        <v>0</v>
      </c>
      <c r="I11" s="4">
        <v>1</v>
      </c>
      <c r="J11" s="4"/>
      <c r="K11" s="4"/>
    </row>
    <row r="12" spans="1:16">
      <c r="A12" s="4" t="s">
        <v>79</v>
      </c>
      <c r="B12" s="4">
        <f>+SUM(E12:AH12)</f>
        <v>5</v>
      </c>
      <c r="C12" s="4">
        <f>SUM(E12:AH12)</f>
        <v>5</v>
      </c>
      <c r="D12" s="4">
        <f>SUM(E12:AH12)</f>
        <v>5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/>
      <c r="K12" s="4"/>
    </row>
    <row r="15" spans="1:16" ht="15">
      <c r="A15" s="3"/>
      <c r="B15" s="3"/>
      <c r="C15" s="3"/>
      <c r="D15" s="7"/>
    </row>
    <row r="16" spans="1:16" ht="15">
      <c r="B16" s="12"/>
    </row>
    <row r="17" spans="2:2" ht="15">
      <c r="B17" s="12"/>
    </row>
    <row r="18" spans="2:2" ht="15">
      <c r="B18" s="12"/>
    </row>
    <row r="19" spans="2:2" ht="15">
      <c r="B19" s="12"/>
    </row>
    <row r="20" spans="2:2" ht="15">
      <c r="B20" s="12"/>
    </row>
    <row r="21" spans="2:2" ht="15">
      <c r="B21" s="12"/>
    </row>
    <row r="22" spans="2:2" ht="15">
      <c r="B22" s="12"/>
    </row>
    <row r="23" spans="2:2" ht="15">
      <c r="B23" s="12"/>
    </row>
    <row r="24" spans="2:2" ht="15">
      <c r="B24" s="12"/>
    </row>
    <row r="25" spans="2:2" ht="15">
      <c r="B25" s="12"/>
    </row>
    <row r="26" spans="2:2" ht="15">
      <c r="B26" s="1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8B859-4F0F-4145-95C4-00571A9EC382}">
  <dimension ref="A1:BC26"/>
  <sheetViews>
    <sheetView zoomScaleNormal="100" workbookViewId="0">
      <selection activeCell="C27" sqref="C27"/>
    </sheetView>
  </sheetViews>
  <sheetFormatPr defaultRowHeight="14.45"/>
  <cols>
    <col min="1" max="1" width="21.28515625" style="4" customWidth="1"/>
    <col min="2" max="3" width="12.7109375" style="4" customWidth="1"/>
    <col min="4" max="7" width="8.7109375" style="4"/>
    <col min="8" max="9" width="9.140625" style="4"/>
  </cols>
  <sheetData>
    <row r="1" spans="1:55">
      <c r="A1" s="3" t="s">
        <v>111</v>
      </c>
      <c r="B1" s="3" t="s">
        <v>71</v>
      </c>
      <c r="C1" s="3" t="s">
        <v>81</v>
      </c>
      <c r="D1" s="3" t="s">
        <v>11</v>
      </c>
      <c r="E1" s="3" t="s">
        <v>72</v>
      </c>
      <c r="F1" s="7">
        <v>45968</v>
      </c>
      <c r="G1" s="7">
        <v>45970</v>
      </c>
      <c r="H1" s="7">
        <v>45975</v>
      </c>
      <c r="I1" s="7">
        <v>45976</v>
      </c>
      <c r="J1" s="6">
        <v>45983</v>
      </c>
      <c r="K1" s="6">
        <v>45985</v>
      </c>
      <c r="L1" s="6">
        <v>45987</v>
      </c>
      <c r="M1" s="6">
        <v>45990</v>
      </c>
      <c r="N1" s="6">
        <v>45992</v>
      </c>
      <c r="O1" s="6">
        <v>45996</v>
      </c>
      <c r="P1" s="6">
        <v>45997</v>
      </c>
      <c r="Q1" s="6">
        <v>46000</v>
      </c>
      <c r="R1" s="6">
        <v>46001</v>
      </c>
      <c r="S1" s="6">
        <v>46003</v>
      </c>
      <c r="T1" s="6">
        <v>46011</v>
      </c>
      <c r="U1" s="6">
        <v>46013</v>
      </c>
      <c r="V1" s="6">
        <v>46019</v>
      </c>
      <c r="W1" s="6">
        <v>45659</v>
      </c>
      <c r="X1" s="6">
        <v>45661</v>
      </c>
      <c r="Y1" s="6">
        <v>45663</v>
      </c>
      <c r="Z1" s="6">
        <v>45665</v>
      </c>
      <c r="AA1" s="6">
        <v>45666</v>
      </c>
      <c r="AB1" s="6">
        <v>45669</v>
      </c>
      <c r="AC1" s="6">
        <v>45671</v>
      </c>
      <c r="AD1" s="6">
        <v>46040</v>
      </c>
      <c r="AE1" s="6">
        <v>46041</v>
      </c>
      <c r="AF1" s="6">
        <v>46043</v>
      </c>
      <c r="AG1" s="6">
        <v>46045</v>
      </c>
      <c r="AH1" s="6">
        <v>46048</v>
      </c>
      <c r="AI1" s="6">
        <v>46050</v>
      </c>
      <c r="AJ1" s="6">
        <v>46055</v>
      </c>
      <c r="AK1" s="6">
        <v>46058</v>
      </c>
      <c r="AL1" s="6">
        <v>46059</v>
      </c>
      <c r="AM1" s="6">
        <v>46061</v>
      </c>
      <c r="AN1" s="6">
        <v>46063</v>
      </c>
      <c r="AO1" s="6">
        <v>46065</v>
      </c>
      <c r="AP1" s="6">
        <v>46072</v>
      </c>
      <c r="AQ1" s="6">
        <v>46073</v>
      </c>
      <c r="AR1" s="6">
        <v>46078</v>
      </c>
      <c r="AS1" s="6">
        <v>46079</v>
      </c>
      <c r="AT1" s="6">
        <v>46082</v>
      </c>
      <c r="AU1" s="6">
        <v>46085</v>
      </c>
      <c r="AV1" s="6">
        <v>46087</v>
      </c>
      <c r="AW1" s="6">
        <v>46096</v>
      </c>
      <c r="AX1" s="6">
        <v>46098</v>
      </c>
      <c r="AY1" s="6">
        <v>46100</v>
      </c>
      <c r="AZ1" s="6">
        <v>46103</v>
      </c>
      <c r="BA1" s="6">
        <v>46105</v>
      </c>
      <c r="BB1" s="6">
        <v>46106</v>
      </c>
      <c r="BC1" s="6">
        <v>46109</v>
      </c>
    </row>
    <row r="2" spans="1:55">
      <c r="A2" s="4" t="s">
        <v>35</v>
      </c>
      <c r="B2" s="4">
        <f>C2+SUM(F2:BC2)</f>
        <v>580</v>
      </c>
      <c r="C2" s="4">
        <v>381</v>
      </c>
      <c r="D2" s="4">
        <f>C2+SUM(F2:BC2)</f>
        <v>580</v>
      </c>
      <c r="E2" s="4">
        <f t="shared" ref="E2:E9" si="0">SUM(F2:AI2)</f>
        <v>75</v>
      </c>
      <c r="F2" s="18"/>
      <c r="G2" s="18"/>
      <c r="H2" s="4">
        <v>0</v>
      </c>
      <c r="I2" s="4">
        <v>0</v>
      </c>
      <c r="J2" s="22"/>
      <c r="K2" s="22"/>
      <c r="L2" s="19"/>
      <c r="M2">
        <v>5</v>
      </c>
      <c r="N2">
        <v>7</v>
      </c>
      <c r="O2">
        <v>2</v>
      </c>
      <c r="P2">
        <v>0</v>
      </c>
      <c r="Q2" s="19"/>
      <c r="R2" s="19"/>
      <c r="S2">
        <v>4</v>
      </c>
      <c r="T2" s="19"/>
      <c r="U2" s="19"/>
      <c r="V2">
        <v>10</v>
      </c>
      <c r="W2">
        <v>7</v>
      </c>
      <c r="X2" s="19"/>
      <c r="Y2" s="22"/>
      <c r="Z2" s="19"/>
      <c r="AA2" s="19"/>
      <c r="AB2">
        <v>11</v>
      </c>
      <c r="AC2">
        <v>5</v>
      </c>
      <c r="AD2">
        <v>0</v>
      </c>
      <c r="AE2">
        <v>6</v>
      </c>
      <c r="AF2">
        <v>3</v>
      </c>
      <c r="AG2" s="19"/>
      <c r="AH2">
        <v>4</v>
      </c>
      <c r="AI2">
        <v>11</v>
      </c>
      <c r="AJ2">
        <v>0</v>
      </c>
      <c r="AK2">
        <v>15</v>
      </c>
      <c r="AL2">
        <v>8</v>
      </c>
      <c r="AM2">
        <v>7</v>
      </c>
      <c r="AN2">
        <v>0</v>
      </c>
      <c r="AO2">
        <v>0</v>
      </c>
      <c r="AP2" s="19"/>
      <c r="AQ2" s="19"/>
      <c r="AR2" s="19"/>
      <c r="AS2" s="19"/>
      <c r="AT2">
        <v>10</v>
      </c>
      <c r="AU2">
        <v>10</v>
      </c>
      <c r="AV2">
        <v>5</v>
      </c>
      <c r="AW2">
        <v>20</v>
      </c>
      <c r="AX2">
        <v>13</v>
      </c>
      <c r="AY2">
        <v>16</v>
      </c>
      <c r="AZ2">
        <v>15</v>
      </c>
      <c r="BA2">
        <v>0</v>
      </c>
      <c r="BB2" s="19"/>
      <c r="BC2">
        <v>5</v>
      </c>
    </row>
    <row r="3" spans="1:55">
      <c r="A3" s="4" t="s">
        <v>25</v>
      </c>
      <c r="B3" s="4">
        <f>C3+SUM(F3:BC3)</f>
        <v>256</v>
      </c>
      <c r="C3" s="4">
        <v>177</v>
      </c>
      <c r="D3" s="4">
        <f>C3+SUM(F3:BC3)</f>
        <v>256</v>
      </c>
      <c r="E3" s="4">
        <f t="shared" si="0"/>
        <v>28</v>
      </c>
      <c r="F3" s="18"/>
      <c r="G3" s="18"/>
      <c r="H3" s="4">
        <v>0</v>
      </c>
      <c r="I3" s="4">
        <v>0</v>
      </c>
      <c r="J3" s="22"/>
      <c r="K3" s="22"/>
      <c r="L3" s="19"/>
      <c r="M3">
        <v>1</v>
      </c>
      <c r="N3">
        <v>1</v>
      </c>
      <c r="O3">
        <v>1</v>
      </c>
      <c r="P3">
        <v>0</v>
      </c>
      <c r="Q3" s="19"/>
      <c r="R3" s="19"/>
      <c r="S3">
        <v>6</v>
      </c>
      <c r="T3" s="19"/>
      <c r="U3" s="19"/>
      <c r="V3">
        <v>2</v>
      </c>
      <c r="W3">
        <v>1</v>
      </c>
      <c r="X3" s="19"/>
      <c r="Y3" s="22"/>
      <c r="Z3" s="19"/>
      <c r="AA3" s="19"/>
      <c r="AB3">
        <v>3</v>
      </c>
      <c r="AC3">
        <v>1</v>
      </c>
      <c r="AD3">
        <v>0</v>
      </c>
      <c r="AE3">
        <v>1</v>
      </c>
      <c r="AF3">
        <v>3</v>
      </c>
      <c r="AG3" s="19"/>
      <c r="AH3">
        <v>1</v>
      </c>
      <c r="AI3">
        <v>7</v>
      </c>
      <c r="AJ3">
        <v>2</v>
      </c>
      <c r="AK3">
        <v>4</v>
      </c>
      <c r="AL3">
        <v>1</v>
      </c>
      <c r="AM3">
        <v>5</v>
      </c>
      <c r="AN3">
        <v>2</v>
      </c>
      <c r="AO3">
        <v>8</v>
      </c>
      <c r="AP3" s="19"/>
      <c r="AQ3" s="19"/>
      <c r="AR3" s="19"/>
      <c r="AS3" s="19"/>
      <c r="AT3">
        <v>3</v>
      </c>
      <c r="AU3">
        <v>3</v>
      </c>
      <c r="AV3">
        <v>0</v>
      </c>
      <c r="AW3">
        <v>3</v>
      </c>
      <c r="AX3">
        <v>2</v>
      </c>
      <c r="AY3">
        <v>5</v>
      </c>
      <c r="AZ3">
        <v>7</v>
      </c>
      <c r="BA3">
        <v>4</v>
      </c>
      <c r="BB3" s="19"/>
      <c r="BC3">
        <v>2</v>
      </c>
    </row>
    <row r="4" spans="1:55">
      <c r="A4" s="4" t="s">
        <v>27</v>
      </c>
      <c r="B4" s="4">
        <f>C4+SUM(F4:BC4)</f>
        <v>345</v>
      </c>
      <c r="C4" s="4">
        <v>227</v>
      </c>
      <c r="D4" s="4">
        <f>C4+SUM(F4:BC4)</f>
        <v>345</v>
      </c>
      <c r="E4" s="4">
        <f t="shared" si="0"/>
        <v>46</v>
      </c>
      <c r="F4" s="18"/>
      <c r="G4" s="18"/>
      <c r="H4" s="4">
        <v>0</v>
      </c>
      <c r="I4" s="4">
        <v>0</v>
      </c>
      <c r="J4" s="22"/>
      <c r="K4" s="22"/>
      <c r="L4" s="19"/>
      <c r="M4">
        <v>3</v>
      </c>
      <c r="N4">
        <v>6</v>
      </c>
      <c r="O4">
        <v>1</v>
      </c>
      <c r="P4">
        <v>0</v>
      </c>
      <c r="Q4" s="19"/>
      <c r="R4" s="19"/>
      <c r="S4">
        <v>4</v>
      </c>
      <c r="T4" s="19"/>
      <c r="U4" s="19"/>
      <c r="V4">
        <v>1</v>
      </c>
      <c r="W4">
        <v>5</v>
      </c>
      <c r="X4" s="19"/>
      <c r="Y4" s="22"/>
      <c r="Z4" s="19"/>
      <c r="AA4" s="19"/>
      <c r="AB4">
        <v>5</v>
      </c>
      <c r="AC4">
        <v>1</v>
      </c>
      <c r="AD4">
        <v>3</v>
      </c>
      <c r="AE4">
        <v>3</v>
      </c>
      <c r="AF4">
        <v>5</v>
      </c>
      <c r="AG4" s="19"/>
      <c r="AH4">
        <v>1</v>
      </c>
      <c r="AI4">
        <v>8</v>
      </c>
      <c r="AJ4">
        <v>4</v>
      </c>
      <c r="AK4">
        <v>5</v>
      </c>
      <c r="AL4">
        <v>8</v>
      </c>
      <c r="AM4">
        <v>3</v>
      </c>
      <c r="AN4">
        <v>4</v>
      </c>
      <c r="AO4">
        <v>3</v>
      </c>
      <c r="AP4" s="19"/>
      <c r="AQ4" s="19"/>
      <c r="AR4" s="19"/>
      <c r="AS4" s="19"/>
      <c r="AT4">
        <v>3</v>
      </c>
      <c r="AU4">
        <v>3</v>
      </c>
      <c r="AV4">
        <v>1</v>
      </c>
      <c r="AW4">
        <v>6</v>
      </c>
      <c r="AX4">
        <v>6</v>
      </c>
      <c r="AY4">
        <v>10</v>
      </c>
      <c r="AZ4">
        <v>9</v>
      </c>
      <c r="BA4">
        <v>4</v>
      </c>
      <c r="BB4" s="19"/>
      <c r="BC4">
        <v>3</v>
      </c>
    </row>
    <row r="5" spans="1:55">
      <c r="A5" s="4" t="s">
        <v>12</v>
      </c>
      <c r="B5" s="4">
        <f>C5+SUM(F5:BC5)</f>
        <v>109</v>
      </c>
      <c r="C5" s="4">
        <v>74</v>
      </c>
      <c r="D5" s="4">
        <f>C5+SUM(F5:BC5)</f>
        <v>109</v>
      </c>
      <c r="E5" s="4">
        <f t="shared" si="0"/>
        <v>18</v>
      </c>
      <c r="F5" s="18"/>
      <c r="G5" s="18"/>
      <c r="H5" s="4">
        <v>0</v>
      </c>
      <c r="I5" s="4">
        <v>0</v>
      </c>
      <c r="J5" s="22"/>
      <c r="K5" s="22"/>
      <c r="L5" s="19"/>
      <c r="M5">
        <v>3</v>
      </c>
      <c r="N5">
        <v>2</v>
      </c>
      <c r="O5">
        <v>0</v>
      </c>
      <c r="P5">
        <v>0</v>
      </c>
      <c r="Q5" s="19"/>
      <c r="R5" s="19"/>
      <c r="S5">
        <v>1</v>
      </c>
      <c r="T5" s="19"/>
      <c r="U5" s="19"/>
      <c r="V5">
        <v>1</v>
      </c>
      <c r="W5">
        <v>0</v>
      </c>
      <c r="X5" s="19"/>
      <c r="Y5" s="22"/>
      <c r="Z5" s="19"/>
      <c r="AA5" s="19"/>
      <c r="AB5">
        <v>2</v>
      </c>
      <c r="AC5">
        <v>0</v>
      </c>
      <c r="AD5">
        <v>0</v>
      </c>
      <c r="AE5">
        <v>1</v>
      </c>
      <c r="AF5">
        <v>1</v>
      </c>
      <c r="AG5" s="19"/>
      <c r="AH5">
        <v>3</v>
      </c>
      <c r="AI5">
        <v>4</v>
      </c>
      <c r="AJ5">
        <v>0</v>
      </c>
      <c r="AK5">
        <v>1</v>
      </c>
      <c r="AL5">
        <v>1</v>
      </c>
      <c r="AM5">
        <v>2</v>
      </c>
      <c r="AN5">
        <v>0</v>
      </c>
      <c r="AO5">
        <v>1</v>
      </c>
      <c r="AP5" s="19"/>
      <c r="AQ5" s="19"/>
      <c r="AR5" s="19"/>
      <c r="AS5" s="19"/>
      <c r="AT5">
        <v>1</v>
      </c>
      <c r="AU5">
        <v>0</v>
      </c>
      <c r="AV5">
        <v>1</v>
      </c>
      <c r="AW5">
        <v>1</v>
      </c>
      <c r="AX5">
        <v>3</v>
      </c>
      <c r="AY5">
        <v>4</v>
      </c>
      <c r="AZ5">
        <v>2</v>
      </c>
      <c r="BA5">
        <v>0</v>
      </c>
      <c r="BB5" s="19"/>
      <c r="BC5">
        <v>0</v>
      </c>
    </row>
    <row r="6" spans="1:55">
      <c r="A6" s="4" t="s">
        <v>21</v>
      </c>
      <c r="B6" s="4">
        <f>C6+SUM(F6:BC6)</f>
        <v>31</v>
      </c>
      <c r="C6" s="4">
        <v>22</v>
      </c>
      <c r="D6" s="4">
        <f>C6+SUM(F6:BC6)</f>
        <v>31</v>
      </c>
      <c r="E6" s="4">
        <f t="shared" si="0"/>
        <v>5</v>
      </c>
      <c r="F6" s="18"/>
      <c r="G6" s="18"/>
      <c r="H6" s="4">
        <v>0</v>
      </c>
      <c r="I6" s="4">
        <v>0</v>
      </c>
      <c r="J6" s="22"/>
      <c r="K6" s="22"/>
      <c r="L6" s="19"/>
      <c r="M6">
        <v>0</v>
      </c>
      <c r="N6">
        <v>0</v>
      </c>
      <c r="O6">
        <v>0</v>
      </c>
      <c r="P6">
        <v>0</v>
      </c>
      <c r="Q6" s="19"/>
      <c r="R6" s="19"/>
      <c r="S6">
        <v>0</v>
      </c>
      <c r="T6" s="19"/>
      <c r="U6" s="19"/>
      <c r="V6">
        <v>0</v>
      </c>
      <c r="W6">
        <v>0</v>
      </c>
      <c r="X6" s="19"/>
      <c r="Y6" s="22"/>
      <c r="Z6" s="19"/>
      <c r="AA6" s="19"/>
      <c r="AB6">
        <v>1</v>
      </c>
      <c r="AC6">
        <v>1</v>
      </c>
      <c r="AD6">
        <v>1</v>
      </c>
      <c r="AE6">
        <v>0</v>
      </c>
      <c r="AF6">
        <v>2</v>
      </c>
      <c r="AG6" s="19"/>
      <c r="AH6">
        <v>0</v>
      </c>
      <c r="AI6">
        <v>0</v>
      </c>
      <c r="AJ6">
        <v>0</v>
      </c>
      <c r="AK6">
        <v>0</v>
      </c>
      <c r="AL6">
        <v>1</v>
      </c>
      <c r="AM6">
        <v>0</v>
      </c>
      <c r="AN6">
        <v>0</v>
      </c>
      <c r="AO6">
        <v>0</v>
      </c>
      <c r="AP6" s="19"/>
      <c r="AQ6" s="19"/>
      <c r="AR6" s="19"/>
      <c r="AS6" s="19"/>
      <c r="AT6">
        <v>0</v>
      </c>
      <c r="AU6">
        <v>0</v>
      </c>
      <c r="AV6">
        <v>0</v>
      </c>
      <c r="AW6">
        <v>0</v>
      </c>
      <c r="AX6">
        <v>1</v>
      </c>
      <c r="AY6">
        <v>1</v>
      </c>
      <c r="AZ6">
        <v>0</v>
      </c>
      <c r="BA6">
        <v>1</v>
      </c>
      <c r="BB6" s="19"/>
      <c r="BC6">
        <v>0</v>
      </c>
    </row>
    <row r="7" spans="1:55">
      <c r="A7" s="4" t="s">
        <v>73</v>
      </c>
      <c r="B7" s="4">
        <f>C7+SUM(F7:BC7)</f>
        <v>220</v>
      </c>
      <c r="C7" s="4">
        <v>148</v>
      </c>
      <c r="D7" s="4">
        <f>C7+SUM(F7:BC7)</f>
        <v>220</v>
      </c>
      <c r="E7" s="4">
        <f t="shared" si="0"/>
        <v>29</v>
      </c>
      <c r="F7" s="18"/>
      <c r="G7" s="18"/>
      <c r="H7" s="4">
        <v>0</v>
      </c>
      <c r="I7" s="4">
        <v>0</v>
      </c>
      <c r="J7" s="22"/>
      <c r="K7" s="22"/>
      <c r="L7" s="19"/>
      <c r="M7">
        <v>2</v>
      </c>
      <c r="N7">
        <v>3</v>
      </c>
      <c r="O7">
        <v>1</v>
      </c>
      <c r="P7">
        <v>0</v>
      </c>
      <c r="Q7" s="19"/>
      <c r="R7" s="19"/>
      <c r="S7">
        <v>1</v>
      </c>
      <c r="T7" s="19"/>
      <c r="U7" s="19"/>
      <c r="V7">
        <v>4</v>
      </c>
      <c r="W7">
        <v>3</v>
      </c>
      <c r="X7" s="19"/>
      <c r="Y7" s="22"/>
      <c r="Z7" s="19"/>
      <c r="AA7" s="19"/>
      <c r="AB7">
        <v>3</v>
      </c>
      <c r="AC7">
        <v>2</v>
      </c>
      <c r="AD7">
        <v>0</v>
      </c>
      <c r="AE7">
        <v>2</v>
      </c>
      <c r="AF7">
        <v>1</v>
      </c>
      <c r="AG7" s="19"/>
      <c r="AH7">
        <v>2</v>
      </c>
      <c r="AI7">
        <v>5</v>
      </c>
      <c r="AJ7">
        <v>0</v>
      </c>
      <c r="AK7">
        <v>6</v>
      </c>
      <c r="AL7">
        <v>1</v>
      </c>
      <c r="AM7">
        <v>3</v>
      </c>
      <c r="AN7">
        <v>0</v>
      </c>
      <c r="AO7">
        <v>0</v>
      </c>
      <c r="AP7" s="19"/>
      <c r="AQ7" s="19"/>
      <c r="AR7" s="19"/>
      <c r="AS7" s="19"/>
      <c r="AT7">
        <v>4</v>
      </c>
      <c r="AU7">
        <v>4</v>
      </c>
      <c r="AV7">
        <v>1</v>
      </c>
      <c r="AW7">
        <v>7</v>
      </c>
      <c r="AX7">
        <v>5</v>
      </c>
      <c r="AY7">
        <v>6</v>
      </c>
      <c r="AZ7">
        <v>4</v>
      </c>
      <c r="BA7">
        <v>0</v>
      </c>
      <c r="BB7" s="19"/>
      <c r="BC7">
        <v>2</v>
      </c>
    </row>
    <row r="8" spans="1:55">
      <c r="A8" s="4" t="s">
        <v>38</v>
      </c>
      <c r="B8" s="4">
        <f>C8+SUM(F8:BC8)</f>
        <v>51</v>
      </c>
      <c r="C8" s="4">
        <v>35</v>
      </c>
      <c r="D8" s="4">
        <f>C8+SUM(F8:BC8)</f>
        <v>51</v>
      </c>
      <c r="E8" s="4">
        <f t="shared" si="0"/>
        <v>5</v>
      </c>
      <c r="F8" s="18"/>
      <c r="G8" s="18"/>
      <c r="H8" s="4">
        <v>0</v>
      </c>
      <c r="I8" s="4">
        <v>0</v>
      </c>
      <c r="J8" s="22"/>
      <c r="K8" s="22"/>
      <c r="L8" s="19"/>
      <c r="M8">
        <v>0</v>
      </c>
      <c r="N8">
        <v>1</v>
      </c>
      <c r="O8">
        <v>0</v>
      </c>
      <c r="P8">
        <v>0</v>
      </c>
      <c r="Q8" s="19"/>
      <c r="R8" s="19"/>
      <c r="S8">
        <v>0</v>
      </c>
      <c r="T8" s="19"/>
      <c r="U8" s="19"/>
      <c r="V8">
        <v>0</v>
      </c>
      <c r="W8">
        <v>1</v>
      </c>
      <c r="X8" s="19"/>
      <c r="Y8" s="22"/>
      <c r="Z8" s="19"/>
      <c r="AA8" s="19"/>
      <c r="AB8">
        <v>1</v>
      </c>
      <c r="AC8">
        <v>1</v>
      </c>
      <c r="AD8">
        <v>0</v>
      </c>
      <c r="AE8">
        <v>0</v>
      </c>
      <c r="AF8">
        <v>0</v>
      </c>
      <c r="AG8" s="19"/>
      <c r="AH8">
        <v>0</v>
      </c>
      <c r="AI8">
        <v>1</v>
      </c>
      <c r="AJ8">
        <v>0</v>
      </c>
      <c r="AK8">
        <v>1</v>
      </c>
      <c r="AL8">
        <v>0</v>
      </c>
      <c r="AM8">
        <v>1</v>
      </c>
      <c r="AN8">
        <v>0</v>
      </c>
      <c r="AO8">
        <v>0</v>
      </c>
      <c r="AP8" s="19"/>
      <c r="AQ8" s="19"/>
      <c r="AR8" s="19"/>
      <c r="AS8" s="19"/>
      <c r="AT8">
        <v>0</v>
      </c>
      <c r="AU8">
        <v>0</v>
      </c>
      <c r="AV8">
        <v>1</v>
      </c>
      <c r="AW8">
        <v>2</v>
      </c>
      <c r="AX8">
        <v>3</v>
      </c>
      <c r="AY8">
        <v>2</v>
      </c>
      <c r="AZ8">
        <v>0</v>
      </c>
      <c r="BA8">
        <v>0</v>
      </c>
      <c r="BB8" s="19"/>
      <c r="BC8">
        <v>1</v>
      </c>
    </row>
    <row r="9" spans="1:55">
      <c r="A9" s="4" t="s">
        <v>74</v>
      </c>
      <c r="B9" s="4">
        <f>C9+SUM(F9:BC9)</f>
        <v>6</v>
      </c>
      <c r="C9" s="4">
        <v>5</v>
      </c>
      <c r="D9" s="4">
        <f>C9+SUM(F9:BC9)</f>
        <v>6</v>
      </c>
      <c r="E9" s="4">
        <f t="shared" si="0"/>
        <v>0</v>
      </c>
      <c r="F9" s="18"/>
      <c r="G9" s="18"/>
      <c r="H9" s="4">
        <v>0</v>
      </c>
      <c r="I9" s="4">
        <v>0</v>
      </c>
      <c r="J9" s="22"/>
      <c r="K9" s="22"/>
      <c r="L9" s="19"/>
      <c r="M9">
        <v>0</v>
      </c>
      <c r="N9">
        <v>0</v>
      </c>
      <c r="O9">
        <v>0</v>
      </c>
      <c r="P9">
        <v>0</v>
      </c>
      <c r="Q9" s="19"/>
      <c r="R9" s="19"/>
      <c r="S9">
        <v>0</v>
      </c>
      <c r="T9" s="19"/>
      <c r="U9" s="19"/>
      <c r="V9">
        <v>0</v>
      </c>
      <c r="W9">
        <v>0</v>
      </c>
      <c r="X9" s="19"/>
      <c r="Y9" s="22"/>
      <c r="Z9" s="19"/>
      <c r="AA9" s="19"/>
      <c r="AB9">
        <v>0</v>
      </c>
      <c r="AC9">
        <v>0</v>
      </c>
      <c r="AD9">
        <v>0</v>
      </c>
      <c r="AE9">
        <v>0</v>
      </c>
      <c r="AF9">
        <v>0</v>
      </c>
      <c r="AG9" s="19"/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 s="19"/>
      <c r="AQ9" s="19"/>
      <c r="AR9" s="19"/>
      <c r="AS9" s="19"/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0</v>
      </c>
      <c r="BB9" s="19"/>
      <c r="BC9">
        <v>0</v>
      </c>
    </row>
    <row r="10" spans="1:55">
      <c r="A10" s="4" t="s">
        <v>75</v>
      </c>
      <c r="B10" s="5">
        <f>C10+SUM(F10:BC10)</f>
        <v>1791.81</v>
      </c>
      <c r="C10" s="8">
        <v>1227.8</v>
      </c>
      <c r="D10" s="8">
        <f>C10+SUM(F10:BC10)</f>
        <v>1791.81</v>
      </c>
      <c r="E10" s="4">
        <v>0</v>
      </c>
      <c r="F10" s="18"/>
      <c r="G10" s="18"/>
      <c r="H10" s="4">
        <v>7.46</v>
      </c>
      <c r="I10" s="4">
        <v>3.26</v>
      </c>
      <c r="J10" s="22"/>
      <c r="K10" s="22"/>
      <c r="L10" s="19"/>
      <c r="M10">
        <v>15.55</v>
      </c>
      <c r="N10">
        <v>28.24</v>
      </c>
      <c r="O10">
        <v>10.1</v>
      </c>
      <c r="P10">
        <v>1.21</v>
      </c>
      <c r="Q10" s="19"/>
      <c r="R10" s="19"/>
      <c r="S10">
        <v>19.28</v>
      </c>
      <c r="T10" s="19"/>
      <c r="U10" s="19"/>
      <c r="V10">
        <v>13.24</v>
      </c>
      <c r="W10">
        <v>11.5</v>
      </c>
      <c r="X10" s="19"/>
      <c r="Y10" s="22"/>
      <c r="Z10" s="19"/>
      <c r="AA10" s="19"/>
      <c r="AB10">
        <v>23.37</v>
      </c>
      <c r="AC10">
        <v>19.239999999999998</v>
      </c>
      <c r="AD10">
        <v>10.35</v>
      </c>
      <c r="AE10">
        <v>19.14</v>
      </c>
      <c r="AF10">
        <v>18.329999999999998</v>
      </c>
      <c r="AG10" s="19"/>
      <c r="AH10">
        <v>15.24</v>
      </c>
      <c r="AI10">
        <v>29.16</v>
      </c>
      <c r="AJ10">
        <v>13.02</v>
      </c>
      <c r="AK10">
        <v>23.27</v>
      </c>
      <c r="AL10">
        <v>22.28</v>
      </c>
      <c r="AM10">
        <v>18.23</v>
      </c>
      <c r="AN10">
        <v>17.489999999999998</v>
      </c>
      <c r="AO10">
        <v>19.57</v>
      </c>
      <c r="AP10" s="19"/>
      <c r="AQ10" s="19"/>
      <c r="AR10" s="19"/>
      <c r="AS10" s="19"/>
      <c r="AT10">
        <v>16.239999999999998</v>
      </c>
      <c r="AU10">
        <v>15.07</v>
      </c>
      <c r="AV10">
        <v>13.14</v>
      </c>
      <c r="AW10">
        <v>30.53</v>
      </c>
      <c r="AX10">
        <v>28.57</v>
      </c>
      <c r="AY10">
        <v>30.28</v>
      </c>
      <c r="AZ10">
        <v>34.020000000000003</v>
      </c>
      <c r="BA10">
        <v>20.14</v>
      </c>
      <c r="BB10" s="19"/>
      <c r="BC10">
        <v>17.489999999999998</v>
      </c>
    </row>
    <row r="11" spans="1:55">
      <c r="A11" s="4" t="s">
        <v>78</v>
      </c>
      <c r="B11" s="4">
        <f>C11+SUM(F11:BC11)</f>
        <v>53</v>
      </c>
      <c r="C11" s="4">
        <v>31</v>
      </c>
      <c r="D11" s="4">
        <f>C11+SUM(F11:BC11)</f>
        <v>53</v>
      </c>
      <c r="E11" s="4">
        <f>SUM(F11:AI11)</f>
        <v>7</v>
      </c>
      <c r="F11" s="18"/>
      <c r="G11" s="18"/>
      <c r="H11" s="4">
        <v>0</v>
      </c>
      <c r="I11" s="4">
        <v>0</v>
      </c>
      <c r="J11" s="22"/>
      <c r="K11" s="22"/>
      <c r="L11" s="19"/>
      <c r="M11">
        <v>1</v>
      </c>
      <c r="N11">
        <v>0</v>
      </c>
      <c r="O11">
        <v>0</v>
      </c>
      <c r="P11">
        <v>0</v>
      </c>
      <c r="Q11" s="19"/>
      <c r="R11" s="19"/>
      <c r="S11">
        <v>1</v>
      </c>
      <c r="T11" s="19"/>
      <c r="U11" s="19"/>
      <c r="V11">
        <v>1</v>
      </c>
      <c r="W11">
        <v>0</v>
      </c>
      <c r="X11" s="19"/>
      <c r="Y11" s="22"/>
      <c r="Z11" s="19"/>
      <c r="AA11" s="19"/>
      <c r="AB11">
        <v>2</v>
      </c>
      <c r="AC11">
        <v>0</v>
      </c>
      <c r="AD11">
        <v>0</v>
      </c>
      <c r="AE11">
        <v>1</v>
      </c>
      <c r="AF11">
        <v>1</v>
      </c>
      <c r="AG11" s="19"/>
      <c r="AH11">
        <v>0</v>
      </c>
      <c r="AI11">
        <v>0</v>
      </c>
      <c r="AJ11">
        <v>0</v>
      </c>
      <c r="AK11">
        <v>1</v>
      </c>
      <c r="AL11">
        <v>3</v>
      </c>
      <c r="AM11">
        <v>0</v>
      </c>
      <c r="AN11">
        <v>0</v>
      </c>
      <c r="AO11">
        <v>0</v>
      </c>
      <c r="AP11" s="19"/>
      <c r="AQ11" s="19"/>
      <c r="AR11" s="19"/>
      <c r="AS11" s="19"/>
      <c r="AT11">
        <v>1</v>
      </c>
      <c r="AU11">
        <v>1</v>
      </c>
      <c r="AV11">
        <v>1</v>
      </c>
      <c r="AW11">
        <v>3</v>
      </c>
      <c r="AX11">
        <v>0</v>
      </c>
      <c r="AY11">
        <v>1</v>
      </c>
      <c r="AZ11">
        <v>4</v>
      </c>
      <c r="BA11">
        <v>0</v>
      </c>
      <c r="BB11" s="19"/>
      <c r="BC11">
        <v>0</v>
      </c>
    </row>
    <row r="12" spans="1:55">
      <c r="A12" s="4" t="s">
        <v>79</v>
      </c>
      <c r="B12" s="4">
        <f>C12+SUM(F12:BC12)</f>
        <v>90</v>
      </c>
      <c r="C12" s="4">
        <v>59</v>
      </c>
      <c r="D12" s="4">
        <f>C12+SUM(F12:BC12)</f>
        <v>90</v>
      </c>
      <c r="E12" s="4">
        <f>SUM(F12:AI12)</f>
        <v>16</v>
      </c>
      <c r="F12" s="18"/>
      <c r="G12" s="18"/>
      <c r="H12" s="4">
        <v>1</v>
      </c>
      <c r="I12" s="4">
        <v>1</v>
      </c>
      <c r="J12" s="22"/>
      <c r="K12" s="22"/>
      <c r="L12" s="19"/>
      <c r="M12">
        <v>1</v>
      </c>
      <c r="N12">
        <v>1</v>
      </c>
      <c r="O12">
        <v>1</v>
      </c>
      <c r="P12">
        <v>1</v>
      </c>
      <c r="Q12" s="19"/>
      <c r="R12" s="19"/>
      <c r="S12">
        <v>1</v>
      </c>
      <c r="T12" s="19"/>
      <c r="U12" s="19"/>
      <c r="V12">
        <v>1</v>
      </c>
      <c r="W12">
        <v>1</v>
      </c>
      <c r="X12" s="19"/>
      <c r="Y12" s="22"/>
      <c r="Z12" s="19"/>
      <c r="AA12" s="19"/>
      <c r="AB12">
        <v>1</v>
      </c>
      <c r="AC12">
        <v>1</v>
      </c>
      <c r="AD12">
        <v>1</v>
      </c>
      <c r="AE12">
        <v>1</v>
      </c>
      <c r="AF12">
        <v>1</v>
      </c>
      <c r="AG12" s="19"/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 s="19"/>
      <c r="AQ12" s="19"/>
      <c r="AR12" s="19"/>
      <c r="AS12" s="19"/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 s="19"/>
      <c r="BC12">
        <v>1</v>
      </c>
    </row>
    <row r="15" spans="1:55" ht="15">
      <c r="A15" s="3" t="s">
        <v>68</v>
      </c>
      <c r="B15" s="3" t="s">
        <v>71</v>
      </c>
      <c r="C15" s="3" t="s">
        <v>72</v>
      </c>
      <c r="D15" s="7">
        <v>46113</v>
      </c>
    </row>
    <row r="16" spans="1:55">
      <c r="A16" s="4" t="s">
        <v>35</v>
      </c>
      <c r="B16" s="4">
        <f>C16+SUM(E16:BD16)</f>
        <v>0</v>
      </c>
      <c r="C16" s="4">
        <v>0</v>
      </c>
      <c r="D16" s="18"/>
    </row>
    <row r="17" spans="1:4">
      <c r="A17" s="4" t="s">
        <v>25</v>
      </c>
      <c r="B17" s="4">
        <f t="shared" ref="B17:B26" si="1">C17+SUM(E17:BD17)</f>
        <v>0</v>
      </c>
      <c r="C17" s="4">
        <v>0</v>
      </c>
      <c r="D17" s="18"/>
    </row>
    <row r="18" spans="1:4">
      <c r="A18" s="4" t="s">
        <v>27</v>
      </c>
      <c r="B18" s="4">
        <f t="shared" si="1"/>
        <v>0</v>
      </c>
      <c r="C18" s="4">
        <v>0</v>
      </c>
      <c r="D18" s="18"/>
    </row>
    <row r="19" spans="1:4">
      <c r="A19" s="4" t="s">
        <v>12</v>
      </c>
      <c r="B19" s="4">
        <f t="shared" si="1"/>
        <v>0</v>
      </c>
      <c r="C19" s="4">
        <v>0</v>
      </c>
      <c r="D19" s="18"/>
    </row>
    <row r="20" spans="1:4">
      <c r="A20" s="4" t="s">
        <v>21</v>
      </c>
      <c r="B20" s="4">
        <f t="shared" si="1"/>
        <v>0</v>
      </c>
      <c r="C20" s="4">
        <v>0</v>
      </c>
      <c r="D20" s="18"/>
    </row>
    <row r="21" spans="1:4">
      <c r="A21" s="4" t="s">
        <v>73</v>
      </c>
      <c r="B21" s="4">
        <f t="shared" si="1"/>
        <v>0</v>
      </c>
      <c r="C21" s="4">
        <v>0</v>
      </c>
      <c r="D21" s="18"/>
    </row>
    <row r="22" spans="1:4">
      <c r="A22" s="4" t="s">
        <v>38</v>
      </c>
      <c r="B22" s="4">
        <f t="shared" si="1"/>
        <v>0</v>
      </c>
      <c r="C22" s="4">
        <v>0</v>
      </c>
      <c r="D22" s="18"/>
    </row>
    <row r="23" spans="1:4">
      <c r="A23" s="4" t="s">
        <v>74</v>
      </c>
      <c r="B23" s="4">
        <f t="shared" si="1"/>
        <v>0</v>
      </c>
      <c r="C23" s="4">
        <v>0</v>
      </c>
      <c r="D23" s="18"/>
    </row>
    <row r="24" spans="1:4">
      <c r="A24" s="4" t="s">
        <v>75</v>
      </c>
      <c r="B24" s="4">
        <f t="shared" si="1"/>
        <v>0</v>
      </c>
      <c r="C24" s="4">
        <v>0</v>
      </c>
      <c r="D24" s="18"/>
    </row>
    <row r="25" spans="1:4">
      <c r="A25" s="4" t="s">
        <v>78</v>
      </c>
      <c r="B25" s="4">
        <f t="shared" si="1"/>
        <v>0</v>
      </c>
      <c r="C25" s="4">
        <v>0</v>
      </c>
      <c r="D25" s="18"/>
    </row>
    <row r="26" spans="1:4">
      <c r="A26" s="4" t="s">
        <v>79</v>
      </c>
      <c r="B26" s="4">
        <f t="shared" si="1"/>
        <v>0</v>
      </c>
      <c r="C26" s="4">
        <v>0</v>
      </c>
      <c r="D26" s="18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C4FB7-4BBD-4329-8515-FBECC6D6CBE1}">
  <dimension ref="A1:AH26"/>
  <sheetViews>
    <sheetView zoomScale="90" zoomScaleNormal="90" workbookViewId="0">
      <selection activeCell="E17" sqref="E17"/>
    </sheetView>
  </sheetViews>
  <sheetFormatPr defaultRowHeight="14.45"/>
  <cols>
    <col min="1" max="1" width="21.28515625" style="4" customWidth="1"/>
    <col min="2" max="2" width="12.7109375" style="4" customWidth="1"/>
    <col min="3" max="3" width="8.7109375" style="4"/>
    <col min="4" max="4" width="8.7109375" style="3"/>
    <col min="5" max="6" width="8.7109375" style="4"/>
    <col min="7" max="8" width="9.140625" style="4"/>
  </cols>
  <sheetData>
    <row r="1" spans="1:34">
      <c r="A1" s="3" t="s">
        <v>112</v>
      </c>
      <c r="B1" s="3" t="s">
        <v>71</v>
      </c>
      <c r="C1" s="3" t="s">
        <v>11</v>
      </c>
      <c r="D1" s="3" t="s">
        <v>72</v>
      </c>
      <c r="E1" s="7">
        <v>45968</v>
      </c>
      <c r="F1" s="7">
        <v>45970</v>
      </c>
      <c r="G1" s="7">
        <v>45975</v>
      </c>
      <c r="H1" s="7">
        <v>45976</v>
      </c>
      <c r="I1" s="6">
        <v>45983</v>
      </c>
      <c r="J1" s="6">
        <v>45985</v>
      </c>
      <c r="K1" s="6">
        <v>46000</v>
      </c>
      <c r="L1" s="6">
        <v>46001</v>
      </c>
      <c r="M1" s="6">
        <v>46003</v>
      </c>
      <c r="N1" s="6">
        <v>46011</v>
      </c>
      <c r="O1" s="6">
        <v>46013</v>
      </c>
      <c r="P1" s="6">
        <v>46019</v>
      </c>
      <c r="Q1" s="6">
        <v>45659</v>
      </c>
      <c r="R1" s="6">
        <v>45661</v>
      </c>
      <c r="S1" s="6">
        <v>45663</v>
      </c>
      <c r="T1" s="6">
        <v>46030</v>
      </c>
      <c r="U1" s="6">
        <v>46031</v>
      </c>
      <c r="V1" s="6">
        <v>45669</v>
      </c>
      <c r="W1" s="6">
        <v>45671</v>
      </c>
      <c r="X1" s="6">
        <v>46040</v>
      </c>
      <c r="Y1" s="6">
        <v>46041</v>
      </c>
      <c r="Z1" s="6">
        <v>46043</v>
      </c>
      <c r="AA1" s="6">
        <v>46045</v>
      </c>
      <c r="AB1" s="6">
        <v>46050</v>
      </c>
      <c r="AC1" s="6">
        <v>46072</v>
      </c>
      <c r="AD1" s="6">
        <v>46073</v>
      </c>
      <c r="AE1" s="6">
        <v>46078</v>
      </c>
      <c r="AF1" s="6">
        <v>46079</v>
      </c>
      <c r="AG1" s="6"/>
      <c r="AH1" s="6"/>
    </row>
    <row r="2" spans="1:34">
      <c r="A2" s="4" t="s">
        <v>35</v>
      </c>
      <c r="B2" s="5">
        <f>+SUM(E2:AZ2)</f>
        <v>303</v>
      </c>
      <c r="C2" s="4">
        <f>SUM(E2:AZ2)</f>
        <v>303</v>
      </c>
      <c r="D2" s="4">
        <f>SUM(E2:AZ2)</f>
        <v>303</v>
      </c>
      <c r="E2" s="4">
        <v>21</v>
      </c>
      <c r="F2" s="4">
        <v>15</v>
      </c>
      <c r="G2" s="4">
        <v>14</v>
      </c>
      <c r="H2" s="4">
        <v>7</v>
      </c>
      <c r="I2" s="22"/>
      <c r="J2" s="22"/>
      <c r="K2" s="4">
        <v>10</v>
      </c>
      <c r="L2">
        <v>5</v>
      </c>
      <c r="M2" s="19"/>
      <c r="N2">
        <v>7</v>
      </c>
      <c r="O2">
        <v>40</v>
      </c>
      <c r="P2">
        <v>21</v>
      </c>
      <c r="Q2">
        <v>4</v>
      </c>
      <c r="R2">
        <v>6</v>
      </c>
      <c r="S2" s="19"/>
      <c r="T2" s="19"/>
      <c r="U2" s="19"/>
      <c r="V2">
        <v>15</v>
      </c>
      <c r="W2">
        <v>14</v>
      </c>
      <c r="X2">
        <v>15</v>
      </c>
      <c r="Y2">
        <v>17</v>
      </c>
      <c r="Z2">
        <v>5</v>
      </c>
      <c r="AA2">
        <v>9</v>
      </c>
      <c r="AB2" s="19"/>
      <c r="AC2">
        <v>18</v>
      </c>
      <c r="AD2">
        <v>7</v>
      </c>
      <c r="AE2">
        <v>32</v>
      </c>
      <c r="AF2">
        <v>21</v>
      </c>
    </row>
    <row r="3" spans="1:34">
      <c r="A3" s="4" t="s">
        <v>25</v>
      </c>
      <c r="B3" s="4">
        <f>+SUM(E3:AZ3)</f>
        <v>76</v>
      </c>
      <c r="C3" s="4">
        <f>SUM(E3:AZ3)</f>
        <v>76</v>
      </c>
      <c r="D3" s="4">
        <f>SUM(E3:AZ3)</f>
        <v>76</v>
      </c>
      <c r="E3" s="4">
        <v>5</v>
      </c>
      <c r="F3" s="4">
        <v>1</v>
      </c>
      <c r="G3" s="4">
        <v>3</v>
      </c>
      <c r="H3" s="4">
        <v>4</v>
      </c>
      <c r="I3" s="22"/>
      <c r="J3" s="22"/>
      <c r="K3" s="4">
        <v>4</v>
      </c>
      <c r="L3">
        <v>6</v>
      </c>
      <c r="M3" s="19"/>
      <c r="N3">
        <v>2</v>
      </c>
      <c r="O3">
        <v>6</v>
      </c>
      <c r="P3">
        <v>4</v>
      </c>
      <c r="Q3">
        <v>3</v>
      </c>
      <c r="R3">
        <v>3</v>
      </c>
      <c r="S3" s="19"/>
      <c r="T3" s="19"/>
      <c r="U3" s="19"/>
      <c r="V3">
        <v>2</v>
      </c>
      <c r="W3">
        <v>2</v>
      </c>
      <c r="X3">
        <v>6</v>
      </c>
      <c r="Y3">
        <v>5</v>
      </c>
      <c r="Z3">
        <v>3</v>
      </c>
      <c r="AA3">
        <v>4</v>
      </c>
      <c r="AB3" s="19"/>
      <c r="AC3">
        <v>6</v>
      </c>
      <c r="AD3">
        <v>2</v>
      </c>
      <c r="AE3">
        <v>3</v>
      </c>
      <c r="AF3">
        <v>2</v>
      </c>
    </row>
    <row r="4" spans="1:34">
      <c r="A4" s="4" t="s">
        <v>27</v>
      </c>
      <c r="B4" s="4">
        <f>+SUM(E4:AZ4)</f>
        <v>95</v>
      </c>
      <c r="C4" s="4">
        <f>SUM(E4:AZ4)</f>
        <v>95</v>
      </c>
      <c r="D4" s="4">
        <f>SUM(E4:AZ4)</f>
        <v>95</v>
      </c>
      <c r="E4" s="4">
        <v>3</v>
      </c>
      <c r="F4" s="4">
        <v>3</v>
      </c>
      <c r="G4" s="4">
        <v>3</v>
      </c>
      <c r="H4" s="4">
        <v>6</v>
      </c>
      <c r="I4" s="22"/>
      <c r="J4" s="22"/>
      <c r="K4" s="4">
        <v>4</v>
      </c>
      <c r="L4">
        <v>5</v>
      </c>
      <c r="M4" s="19"/>
      <c r="N4">
        <v>2</v>
      </c>
      <c r="O4">
        <v>4</v>
      </c>
      <c r="P4">
        <v>6</v>
      </c>
      <c r="Q4">
        <v>5</v>
      </c>
      <c r="R4">
        <v>7</v>
      </c>
      <c r="S4" s="19"/>
      <c r="T4" s="19"/>
      <c r="U4" s="19"/>
      <c r="V4">
        <v>2</v>
      </c>
      <c r="W4">
        <v>4</v>
      </c>
      <c r="X4">
        <v>8</v>
      </c>
      <c r="Y4">
        <v>5</v>
      </c>
      <c r="Z4">
        <v>6</v>
      </c>
      <c r="AA4">
        <v>5</v>
      </c>
      <c r="AB4" s="19"/>
      <c r="AC4">
        <v>8</v>
      </c>
      <c r="AD4">
        <v>3</v>
      </c>
      <c r="AE4">
        <v>4</v>
      </c>
      <c r="AF4">
        <v>2</v>
      </c>
    </row>
    <row r="5" spans="1:34">
      <c r="A5" s="4" t="s">
        <v>12</v>
      </c>
      <c r="B5" s="4">
        <f>+SUM(E5:AZ5)</f>
        <v>27</v>
      </c>
      <c r="C5" s="4">
        <f>SUM(E5:AZ5)</f>
        <v>27</v>
      </c>
      <c r="D5" s="4">
        <f>SUM(E5:AZ5)</f>
        <v>27</v>
      </c>
      <c r="E5" s="4">
        <v>2</v>
      </c>
      <c r="F5" s="4">
        <v>0</v>
      </c>
      <c r="G5" s="4">
        <v>1</v>
      </c>
      <c r="H5" s="4">
        <v>1</v>
      </c>
      <c r="I5" s="22"/>
      <c r="J5" s="22"/>
      <c r="K5" s="4">
        <v>1</v>
      </c>
      <c r="L5">
        <v>0</v>
      </c>
      <c r="M5" s="19"/>
      <c r="N5">
        <v>3</v>
      </c>
      <c r="O5">
        <v>1</v>
      </c>
      <c r="P5">
        <v>5</v>
      </c>
      <c r="Q5">
        <v>1</v>
      </c>
      <c r="R5">
        <v>3</v>
      </c>
      <c r="S5" s="19"/>
      <c r="T5" s="19"/>
      <c r="U5" s="19"/>
      <c r="V5">
        <v>1</v>
      </c>
      <c r="W5">
        <v>0</v>
      </c>
      <c r="X5">
        <v>0</v>
      </c>
      <c r="Y5">
        <v>4</v>
      </c>
      <c r="Z5">
        <v>0</v>
      </c>
      <c r="AA5">
        <v>1</v>
      </c>
      <c r="AB5" s="19"/>
      <c r="AC5">
        <v>0</v>
      </c>
      <c r="AD5">
        <v>0</v>
      </c>
      <c r="AE5">
        <v>0</v>
      </c>
      <c r="AF5">
        <v>3</v>
      </c>
    </row>
    <row r="6" spans="1:34">
      <c r="A6" s="4" t="s">
        <v>21</v>
      </c>
      <c r="B6" s="4">
        <f>+SUM(E6:AZ6)</f>
        <v>8</v>
      </c>
      <c r="C6" s="4">
        <f>SUM(E6:AZ6)</f>
        <v>8</v>
      </c>
      <c r="D6" s="4">
        <f>SUM(E6:AZ6)</f>
        <v>8</v>
      </c>
      <c r="E6" s="4">
        <v>1</v>
      </c>
      <c r="F6" s="4">
        <v>1</v>
      </c>
      <c r="G6" s="4">
        <v>0</v>
      </c>
      <c r="H6" s="4">
        <v>0</v>
      </c>
      <c r="I6" s="22"/>
      <c r="J6" s="22"/>
      <c r="K6" s="4">
        <v>1</v>
      </c>
      <c r="L6">
        <v>0</v>
      </c>
      <c r="M6" s="19"/>
      <c r="N6">
        <v>0</v>
      </c>
      <c r="O6">
        <v>0</v>
      </c>
      <c r="P6">
        <v>0</v>
      </c>
      <c r="Q6">
        <v>0</v>
      </c>
      <c r="R6">
        <v>1</v>
      </c>
      <c r="S6" s="19"/>
      <c r="T6" s="19"/>
      <c r="U6" s="19"/>
      <c r="V6">
        <v>0</v>
      </c>
      <c r="W6">
        <v>1</v>
      </c>
      <c r="X6">
        <v>0</v>
      </c>
      <c r="Y6">
        <v>1</v>
      </c>
      <c r="Z6">
        <v>0</v>
      </c>
      <c r="AA6">
        <v>0</v>
      </c>
      <c r="AB6" s="19"/>
      <c r="AC6">
        <v>0</v>
      </c>
      <c r="AD6">
        <v>1</v>
      </c>
      <c r="AE6">
        <v>1</v>
      </c>
      <c r="AF6">
        <v>0</v>
      </c>
    </row>
    <row r="7" spans="1:34">
      <c r="A7" s="4" t="s">
        <v>73</v>
      </c>
      <c r="B7" s="4">
        <f>+SUM(E7:AZ7)</f>
        <v>107</v>
      </c>
      <c r="C7" s="4">
        <f>SUM(E7:AZ7)</f>
        <v>107</v>
      </c>
      <c r="D7" s="4">
        <f>SUM(E7:AZ7)</f>
        <v>107</v>
      </c>
      <c r="E7" s="4">
        <v>7</v>
      </c>
      <c r="F7" s="4">
        <v>5</v>
      </c>
      <c r="G7" s="4">
        <v>5</v>
      </c>
      <c r="H7" s="4">
        <v>3</v>
      </c>
      <c r="I7" s="22"/>
      <c r="J7" s="22"/>
      <c r="K7" s="4">
        <v>2</v>
      </c>
      <c r="L7">
        <v>2</v>
      </c>
      <c r="M7" s="19"/>
      <c r="N7">
        <v>3</v>
      </c>
      <c r="O7">
        <v>14</v>
      </c>
      <c r="P7">
        <v>3</v>
      </c>
      <c r="Q7">
        <v>2</v>
      </c>
      <c r="R7">
        <v>3</v>
      </c>
      <c r="S7" s="19"/>
      <c r="T7" s="19"/>
      <c r="U7" s="19"/>
      <c r="V7">
        <v>6</v>
      </c>
      <c r="W7">
        <v>5</v>
      </c>
      <c r="X7">
        <v>5</v>
      </c>
      <c r="Y7">
        <v>6</v>
      </c>
      <c r="Z7">
        <v>2</v>
      </c>
      <c r="AA7">
        <v>3</v>
      </c>
      <c r="AB7" s="19"/>
      <c r="AC7">
        <v>7</v>
      </c>
      <c r="AD7">
        <v>3</v>
      </c>
      <c r="AE7">
        <v>12</v>
      </c>
      <c r="AF7">
        <v>9</v>
      </c>
    </row>
    <row r="8" spans="1:34">
      <c r="A8" s="4" t="s">
        <v>38</v>
      </c>
      <c r="B8" s="4">
        <f>+SUM(E8:AZ8)</f>
        <v>34</v>
      </c>
      <c r="C8" s="4">
        <f>SUM(E8:AZ8)</f>
        <v>34</v>
      </c>
      <c r="D8" s="4">
        <f>SUM(E8:AZ8)</f>
        <v>34</v>
      </c>
      <c r="E8" s="4">
        <v>1</v>
      </c>
      <c r="F8" s="4">
        <v>1</v>
      </c>
      <c r="G8" s="4">
        <v>3</v>
      </c>
      <c r="H8" s="4">
        <v>1</v>
      </c>
      <c r="I8" s="22"/>
      <c r="J8" s="22"/>
      <c r="K8" s="4">
        <v>2</v>
      </c>
      <c r="L8">
        <v>1</v>
      </c>
      <c r="M8" s="19"/>
      <c r="N8">
        <v>1</v>
      </c>
      <c r="O8">
        <v>6</v>
      </c>
      <c r="P8">
        <v>2</v>
      </c>
      <c r="Q8">
        <v>0</v>
      </c>
      <c r="R8">
        <v>0</v>
      </c>
      <c r="S8" s="19"/>
      <c r="T8" s="19"/>
      <c r="U8" s="19"/>
      <c r="V8">
        <v>1</v>
      </c>
      <c r="W8">
        <v>1</v>
      </c>
      <c r="X8">
        <v>1</v>
      </c>
      <c r="Y8">
        <v>3</v>
      </c>
      <c r="Z8">
        <v>1</v>
      </c>
      <c r="AA8">
        <v>0</v>
      </c>
      <c r="AB8" s="19"/>
      <c r="AC8">
        <v>2</v>
      </c>
      <c r="AD8">
        <v>1</v>
      </c>
      <c r="AE8">
        <v>3</v>
      </c>
      <c r="AF8">
        <v>3</v>
      </c>
    </row>
    <row r="9" spans="1:34">
      <c r="A9" s="4" t="s">
        <v>74</v>
      </c>
      <c r="B9" s="4">
        <f>+SUM(E9:AZ9)</f>
        <v>0</v>
      </c>
      <c r="C9" s="4">
        <f>SUM(E9:AZ9)</f>
        <v>0</v>
      </c>
      <c r="D9" s="4">
        <f>SUM(E9:AZ9)</f>
        <v>0</v>
      </c>
      <c r="E9" s="4">
        <v>0</v>
      </c>
      <c r="F9" s="4">
        <v>0</v>
      </c>
      <c r="G9" s="4">
        <v>0</v>
      </c>
      <c r="H9" s="4">
        <v>0</v>
      </c>
      <c r="I9" s="22"/>
      <c r="J9" s="22"/>
      <c r="K9" s="4">
        <v>0</v>
      </c>
      <c r="L9">
        <v>0</v>
      </c>
      <c r="M9" s="19"/>
      <c r="N9">
        <v>0</v>
      </c>
      <c r="O9">
        <v>0</v>
      </c>
      <c r="P9">
        <v>0</v>
      </c>
      <c r="Q9">
        <v>0</v>
      </c>
      <c r="R9">
        <v>0</v>
      </c>
      <c r="S9" s="19"/>
      <c r="T9" s="19"/>
      <c r="U9" s="19"/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s="19"/>
      <c r="AC9">
        <v>0</v>
      </c>
      <c r="AD9">
        <v>0</v>
      </c>
      <c r="AE9">
        <v>0</v>
      </c>
      <c r="AF9">
        <v>0</v>
      </c>
    </row>
    <row r="10" spans="1:34">
      <c r="A10" s="4" t="s">
        <v>75</v>
      </c>
      <c r="B10" s="5">
        <f>+SUM(E10:AZ10)</f>
        <v>494.75</v>
      </c>
      <c r="C10" s="11">
        <f>+SUM(E10:AZ10)</f>
        <v>494.75</v>
      </c>
      <c r="D10" s="10">
        <f>+SUM(E10:AZ10)</f>
        <v>494.75</v>
      </c>
      <c r="E10" s="10" t="s">
        <v>113</v>
      </c>
      <c r="F10" s="10" t="s">
        <v>114</v>
      </c>
      <c r="G10" s="4">
        <v>26.33</v>
      </c>
      <c r="H10" s="4">
        <v>16.16</v>
      </c>
      <c r="I10" s="22"/>
      <c r="J10" s="22"/>
      <c r="K10" s="4">
        <v>21.37</v>
      </c>
      <c r="L10">
        <v>20.56</v>
      </c>
      <c r="M10" s="19"/>
      <c r="N10">
        <v>18.29</v>
      </c>
      <c r="O10">
        <v>37.06</v>
      </c>
      <c r="P10">
        <v>38.06</v>
      </c>
      <c r="Q10">
        <v>24.55</v>
      </c>
      <c r="R10">
        <v>27.23</v>
      </c>
      <c r="S10" s="19"/>
      <c r="T10" s="19"/>
      <c r="U10" s="19"/>
      <c r="V10">
        <v>23.48</v>
      </c>
      <c r="W10">
        <v>24.1</v>
      </c>
      <c r="X10">
        <v>25.51</v>
      </c>
      <c r="Y10">
        <v>26.55</v>
      </c>
      <c r="Z10">
        <v>23.18</v>
      </c>
      <c r="AA10">
        <v>25.56</v>
      </c>
      <c r="AB10" s="19"/>
      <c r="AC10">
        <v>27.49</v>
      </c>
      <c r="AD10">
        <v>27.13</v>
      </c>
      <c r="AE10">
        <v>32.049999999999997</v>
      </c>
      <c r="AF10">
        <v>30.09</v>
      </c>
    </row>
    <row r="11" spans="1:34">
      <c r="A11" s="4" t="s">
        <v>78</v>
      </c>
      <c r="B11" s="4">
        <f>+SUM(E11:AZ11)</f>
        <v>31</v>
      </c>
      <c r="C11" s="4">
        <f>SUM(E11:AZ11)</f>
        <v>31</v>
      </c>
      <c r="D11" s="4">
        <f>SUM(E11:AZ11)</f>
        <v>31</v>
      </c>
      <c r="E11" s="4">
        <v>4</v>
      </c>
      <c r="F11" s="4">
        <v>2</v>
      </c>
      <c r="G11" s="4">
        <v>1</v>
      </c>
      <c r="H11" s="4">
        <v>0</v>
      </c>
      <c r="I11" s="22"/>
      <c r="J11" s="22"/>
      <c r="K11" s="4">
        <v>2</v>
      </c>
      <c r="L11">
        <v>0</v>
      </c>
      <c r="M11" s="19"/>
      <c r="N11">
        <v>0</v>
      </c>
      <c r="O11">
        <v>3</v>
      </c>
      <c r="P11">
        <v>7</v>
      </c>
      <c r="Q11">
        <v>0</v>
      </c>
      <c r="R11">
        <v>0</v>
      </c>
      <c r="S11" s="19"/>
      <c r="T11" s="19"/>
      <c r="U11" s="19"/>
      <c r="V11">
        <v>1</v>
      </c>
      <c r="W11">
        <v>2</v>
      </c>
      <c r="X11">
        <v>2</v>
      </c>
      <c r="Y11">
        <v>1</v>
      </c>
      <c r="Z11">
        <v>0</v>
      </c>
      <c r="AA11">
        <v>2</v>
      </c>
      <c r="AB11" s="19"/>
      <c r="AC11">
        <v>1</v>
      </c>
      <c r="AD11">
        <v>0</v>
      </c>
      <c r="AE11">
        <v>3</v>
      </c>
      <c r="AF11">
        <v>0</v>
      </c>
    </row>
    <row r="12" spans="1:34">
      <c r="A12" s="4" t="s">
        <v>79</v>
      </c>
      <c r="B12" s="4">
        <f>+SUM(E12:AZ12)</f>
        <v>21</v>
      </c>
      <c r="C12" s="4">
        <f>SUM(E12:AZ12)</f>
        <v>21</v>
      </c>
      <c r="D12" s="4">
        <f>SUM(E12:AZ12)</f>
        <v>21</v>
      </c>
      <c r="E12" s="4">
        <v>1</v>
      </c>
      <c r="F12" s="4">
        <v>1</v>
      </c>
      <c r="G12" s="4">
        <v>1</v>
      </c>
      <c r="H12" s="4">
        <v>1</v>
      </c>
      <c r="I12" s="22"/>
      <c r="J12" s="22"/>
      <c r="K12" s="4">
        <v>1</v>
      </c>
      <c r="L12">
        <v>1</v>
      </c>
      <c r="M12" s="19"/>
      <c r="N12">
        <v>1</v>
      </c>
      <c r="O12">
        <v>1</v>
      </c>
      <c r="P12">
        <v>1</v>
      </c>
      <c r="Q12">
        <v>1</v>
      </c>
      <c r="R12">
        <v>1</v>
      </c>
      <c r="S12" s="19"/>
      <c r="T12" s="19"/>
      <c r="U12" s="19"/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 s="19"/>
      <c r="AC12">
        <v>1</v>
      </c>
      <c r="AD12">
        <v>1</v>
      </c>
      <c r="AE12">
        <v>1</v>
      </c>
      <c r="AF12">
        <v>1</v>
      </c>
    </row>
    <row r="15" spans="1:34" ht="15">
      <c r="A15" s="3"/>
      <c r="B15" s="3"/>
      <c r="C15" s="3"/>
      <c r="D15" s="7"/>
    </row>
    <row r="16" spans="1:34" ht="15">
      <c r="B16" s="12"/>
    </row>
    <row r="17" spans="2:2" ht="15">
      <c r="B17" s="12"/>
    </row>
    <row r="18" spans="2:2" ht="15">
      <c r="B18" s="12"/>
    </row>
    <row r="19" spans="2:2" ht="15">
      <c r="B19" s="12"/>
    </row>
    <row r="20" spans="2:2" ht="15">
      <c r="B20" s="12"/>
    </row>
    <row r="21" spans="2:2" ht="15">
      <c r="B21" s="12"/>
    </row>
    <row r="22" spans="2:2" ht="15">
      <c r="B22" s="12"/>
    </row>
    <row r="23" spans="2:2" ht="15">
      <c r="B23" s="12"/>
    </row>
    <row r="24" spans="2:2" ht="15">
      <c r="B24" s="12"/>
    </row>
    <row r="25" spans="2:2" ht="15">
      <c r="B25" s="12"/>
    </row>
    <row r="26" spans="2:2" ht="15">
      <c r="B26" s="1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0EFE3-AE37-4622-A1A1-BD4DCC30D6F8}">
  <dimension ref="A1:AK26"/>
  <sheetViews>
    <sheetView zoomScale="120" zoomScaleNormal="120" workbookViewId="0">
      <selection activeCell="G21" sqref="G21"/>
    </sheetView>
  </sheetViews>
  <sheetFormatPr defaultRowHeight="14.45"/>
  <cols>
    <col min="1" max="1" width="21.28515625" style="4" customWidth="1"/>
    <col min="2" max="4" width="12.7109375" style="4" customWidth="1"/>
    <col min="5" max="6" width="9.140625" style="4"/>
  </cols>
  <sheetData>
    <row r="1" spans="1:37">
      <c r="A1" s="3" t="s">
        <v>115</v>
      </c>
      <c r="B1" s="3" t="s">
        <v>71</v>
      </c>
      <c r="C1" s="3" t="s">
        <v>81</v>
      </c>
      <c r="D1" s="3" t="s">
        <v>116</v>
      </c>
      <c r="E1" s="3" t="s">
        <v>11</v>
      </c>
      <c r="F1" s="3" t="s">
        <v>72</v>
      </c>
      <c r="G1" s="7">
        <v>46045</v>
      </c>
      <c r="H1" s="7">
        <v>46048</v>
      </c>
      <c r="I1" s="7">
        <v>46050</v>
      </c>
      <c r="J1" s="7">
        <v>46055</v>
      </c>
      <c r="K1" s="6">
        <v>46058</v>
      </c>
      <c r="L1" s="6">
        <v>46059</v>
      </c>
      <c r="M1" s="6">
        <v>46061</v>
      </c>
      <c r="N1" s="6">
        <v>46063</v>
      </c>
      <c r="O1" s="6">
        <v>46065</v>
      </c>
      <c r="P1" s="6">
        <v>46072</v>
      </c>
      <c r="Q1" s="6">
        <v>46073</v>
      </c>
      <c r="R1" s="6">
        <v>46087</v>
      </c>
      <c r="S1" s="6">
        <v>46096</v>
      </c>
      <c r="T1" s="6">
        <v>46098</v>
      </c>
      <c r="U1" s="6">
        <v>46100</v>
      </c>
      <c r="V1" s="6">
        <v>46103</v>
      </c>
      <c r="W1" s="6">
        <v>46105</v>
      </c>
      <c r="X1" s="6">
        <v>46106</v>
      </c>
      <c r="Y1" s="6">
        <v>46109</v>
      </c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</row>
    <row r="2" spans="1:37">
      <c r="A2" s="4" t="s">
        <v>35</v>
      </c>
      <c r="B2" s="5">
        <f t="shared" ref="B2:B12" si="0">C2+D2+SUM(G2:AK2)</f>
        <v>748</v>
      </c>
      <c r="C2" s="5">
        <v>295</v>
      </c>
      <c r="D2" s="5">
        <v>349</v>
      </c>
      <c r="E2" s="4">
        <f t="shared" ref="E2:E7" si="1">SUM(G2:AK2)</f>
        <v>104</v>
      </c>
      <c r="F2" s="5">
        <f t="shared" ref="F2:F8" si="2">D2+SUM(G2:AK2)</f>
        <v>453</v>
      </c>
      <c r="G2">
        <v>12</v>
      </c>
      <c r="H2">
        <v>8</v>
      </c>
      <c r="I2">
        <v>6</v>
      </c>
      <c r="J2">
        <v>5</v>
      </c>
      <c r="K2">
        <v>0</v>
      </c>
      <c r="L2" s="19"/>
      <c r="M2">
        <v>0</v>
      </c>
      <c r="N2">
        <v>0</v>
      </c>
      <c r="O2">
        <v>0</v>
      </c>
      <c r="P2" s="19"/>
      <c r="Q2">
        <v>0</v>
      </c>
      <c r="R2" s="19"/>
      <c r="S2">
        <v>4</v>
      </c>
      <c r="T2">
        <v>18</v>
      </c>
      <c r="U2">
        <v>10</v>
      </c>
      <c r="V2">
        <v>2</v>
      </c>
      <c r="W2">
        <v>18</v>
      </c>
      <c r="X2">
        <v>15</v>
      </c>
      <c r="Y2">
        <v>6</v>
      </c>
    </row>
    <row r="3" spans="1:37">
      <c r="A3" s="4" t="s">
        <v>25</v>
      </c>
      <c r="B3" s="4">
        <f t="shared" si="0"/>
        <v>232</v>
      </c>
      <c r="C3" s="4">
        <v>100</v>
      </c>
      <c r="D3" s="4">
        <v>92</v>
      </c>
      <c r="E3" s="4">
        <f t="shared" si="1"/>
        <v>40</v>
      </c>
      <c r="F3" s="4">
        <f t="shared" si="2"/>
        <v>132</v>
      </c>
      <c r="G3">
        <v>1</v>
      </c>
      <c r="H3">
        <v>2</v>
      </c>
      <c r="I3">
        <v>2</v>
      </c>
      <c r="J3">
        <v>2</v>
      </c>
      <c r="K3">
        <v>2</v>
      </c>
      <c r="L3" s="19"/>
      <c r="M3">
        <v>4</v>
      </c>
      <c r="N3">
        <v>0</v>
      </c>
      <c r="O3">
        <v>0</v>
      </c>
      <c r="P3" s="19"/>
      <c r="Q3">
        <v>0</v>
      </c>
      <c r="R3" s="19"/>
      <c r="S3">
        <v>4</v>
      </c>
      <c r="T3">
        <v>6</v>
      </c>
      <c r="U3">
        <v>3</v>
      </c>
      <c r="V3">
        <v>3</v>
      </c>
      <c r="W3">
        <v>4</v>
      </c>
      <c r="X3">
        <v>4</v>
      </c>
      <c r="Y3">
        <v>3</v>
      </c>
    </row>
    <row r="4" spans="1:37">
      <c r="A4" s="4" t="s">
        <v>27</v>
      </c>
      <c r="B4" s="4">
        <f t="shared" si="0"/>
        <v>264</v>
      </c>
      <c r="C4" s="4">
        <v>105</v>
      </c>
      <c r="D4" s="4">
        <v>113</v>
      </c>
      <c r="E4" s="4">
        <f t="shared" si="1"/>
        <v>46</v>
      </c>
      <c r="F4" s="4">
        <f t="shared" si="2"/>
        <v>159</v>
      </c>
      <c r="G4">
        <v>1</v>
      </c>
      <c r="H4">
        <v>2</v>
      </c>
      <c r="I4">
        <v>2</v>
      </c>
      <c r="J4">
        <v>1</v>
      </c>
      <c r="K4">
        <v>0</v>
      </c>
      <c r="L4" s="19"/>
      <c r="M4">
        <v>2</v>
      </c>
      <c r="N4">
        <v>1</v>
      </c>
      <c r="O4">
        <v>1</v>
      </c>
      <c r="P4" s="19"/>
      <c r="Q4">
        <v>0</v>
      </c>
      <c r="R4" s="19"/>
      <c r="S4">
        <v>5</v>
      </c>
      <c r="T4">
        <v>4</v>
      </c>
      <c r="U4">
        <v>4</v>
      </c>
      <c r="V4">
        <v>6</v>
      </c>
      <c r="W4">
        <v>6</v>
      </c>
      <c r="X4">
        <v>6</v>
      </c>
      <c r="Y4">
        <v>5</v>
      </c>
    </row>
    <row r="5" spans="1:37">
      <c r="A5" s="4" t="s">
        <v>12</v>
      </c>
      <c r="B5" s="4">
        <f t="shared" si="0"/>
        <v>64</v>
      </c>
      <c r="C5" s="4">
        <v>35</v>
      </c>
      <c r="D5" s="4">
        <v>20</v>
      </c>
      <c r="E5" s="4">
        <f t="shared" si="1"/>
        <v>9</v>
      </c>
      <c r="F5" s="4">
        <f t="shared" si="2"/>
        <v>29</v>
      </c>
      <c r="G5">
        <v>2</v>
      </c>
      <c r="H5">
        <v>1</v>
      </c>
      <c r="I5">
        <v>0</v>
      </c>
      <c r="J5">
        <v>0</v>
      </c>
      <c r="K5">
        <v>0</v>
      </c>
      <c r="L5" s="19"/>
      <c r="M5">
        <v>2</v>
      </c>
      <c r="N5">
        <v>0</v>
      </c>
      <c r="O5">
        <v>0</v>
      </c>
      <c r="P5" s="19"/>
      <c r="Q5">
        <v>0</v>
      </c>
      <c r="R5" s="19"/>
      <c r="S5">
        <v>0</v>
      </c>
      <c r="T5">
        <v>1</v>
      </c>
      <c r="U5">
        <v>1</v>
      </c>
      <c r="V5">
        <v>0</v>
      </c>
      <c r="W5">
        <v>2</v>
      </c>
      <c r="X5">
        <v>0</v>
      </c>
      <c r="Y5">
        <v>0</v>
      </c>
    </row>
    <row r="6" spans="1:37">
      <c r="A6" s="4" t="s">
        <v>21</v>
      </c>
      <c r="B6" s="4">
        <f t="shared" si="0"/>
        <v>19</v>
      </c>
      <c r="C6" s="4">
        <v>10</v>
      </c>
      <c r="D6" s="4">
        <v>6</v>
      </c>
      <c r="E6" s="4">
        <f t="shared" si="1"/>
        <v>3</v>
      </c>
      <c r="F6" s="4">
        <f t="shared" si="2"/>
        <v>9</v>
      </c>
      <c r="G6">
        <v>2</v>
      </c>
      <c r="H6">
        <v>0</v>
      </c>
      <c r="I6">
        <v>0</v>
      </c>
      <c r="J6">
        <v>0</v>
      </c>
      <c r="K6">
        <v>0</v>
      </c>
      <c r="L6" s="19"/>
      <c r="M6">
        <v>0</v>
      </c>
      <c r="N6">
        <v>0</v>
      </c>
      <c r="O6">
        <v>0</v>
      </c>
      <c r="P6" s="19"/>
      <c r="Q6">
        <v>0</v>
      </c>
      <c r="R6" s="19"/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37">
      <c r="A7" s="4" t="s">
        <v>73</v>
      </c>
      <c r="B7" s="4">
        <f t="shared" si="0"/>
        <v>286</v>
      </c>
      <c r="C7" s="4">
        <v>113</v>
      </c>
      <c r="D7" s="4">
        <v>133</v>
      </c>
      <c r="E7" s="4">
        <f t="shared" si="1"/>
        <v>40</v>
      </c>
      <c r="F7" s="4">
        <f t="shared" si="2"/>
        <v>173</v>
      </c>
      <c r="G7">
        <v>4</v>
      </c>
      <c r="H7">
        <v>2</v>
      </c>
      <c r="I7">
        <v>2</v>
      </c>
      <c r="J7">
        <v>2</v>
      </c>
      <c r="K7">
        <v>0</v>
      </c>
      <c r="L7" s="19"/>
      <c r="M7">
        <v>0</v>
      </c>
      <c r="N7">
        <v>0</v>
      </c>
      <c r="O7">
        <v>0</v>
      </c>
      <c r="P7" s="19"/>
      <c r="Q7">
        <v>0</v>
      </c>
      <c r="R7" s="19"/>
      <c r="S7">
        <v>1</v>
      </c>
      <c r="T7">
        <v>7</v>
      </c>
      <c r="U7">
        <v>5</v>
      </c>
      <c r="V7">
        <v>1</v>
      </c>
      <c r="W7">
        <v>7</v>
      </c>
      <c r="X7">
        <v>7</v>
      </c>
      <c r="Y7">
        <v>2</v>
      </c>
    </row>
    <row r="8" spans="1:37">
      <c r="A8" s="4" t="s">
        <v>38</v>
      </c>
      <c r="B8" s="4">
        <f t="shared" si="0"/>
        <v>61</v>
      </c>
      <c r="C8" s="4">
        <v>21</v>
      </c>
      <c r="D8" s="4">
        <v>33</v>
      </c>
      <c r="E8" s="4">
        <f>SUM(G8:AK8)</f>
        <v>7</v>
      </c>
      <c r="F8" s="4">
        <f t="shared" si="2"/>
        <v>40</v>
      </c>
      <c r="G8">
        <v>1</v>
      </c>
      <c r="H8">
        <v>0</v>
      </c>
      <c r="I8">
        <v>0</v>
      </c>
      <c r="J8">
        <v>1</v>
      </c>
      <c r="K8">
        <v>0</v>
      </c>
      <c r="L8" s="19"/>
      <c r="M8">
        <v>0</v>
      </c>
      <c r="N8">
        <v>0</v>
      </c>
      <c r="O8">
        <v>0</v>
      </c>
      <c r="P8" s="19"/>
      <c r="Q8">
        <v>0</v>
      </c>
      <c r="R8" s="19"/>
      <c r="S8">
        <v>0</v>
      </c>
      <c r="T8">
        <v>2</v>
      </c>
      <c r="U8">
        <v>0</v>
      </c>
      <c r="V8">
        <v>0</v>
      </c>
      <c r="W8">
        <v>2</v>
      </c>
      <c r="X8">
        <v>1</v>
      </c>
      <c r="Y8">
        <v>0</v>
      </c>
    </row>
    <row r="9" spans="1:37">
      <c r="A9" s="4" t="s">
        <v>74</v>
      </c>
      <c r="B9" s="4">
        <f t="shared" si="0"/>
        <v>0</v>
      </c>
      <c r="C9" s="4">
        <v>0</v>
      </c>
      <c r="D9" s="4">
        <v>0</v>
      </c>
      <c r="E9" s="4">
        <f>SUM(G9:AK9)</f>
        <v>0</v>
      </c>
      <c r="F9" s="4">
        <f>D9+SUM(G9:AK9)</f>
        <v>0</v>
      </c>
      <c r="G9">
        <v>0</v>
      </c>
      <c r="H9">
        <v>0</v>
      </c>
      <c r="I9">
        <v>0</v>
      </c>
      <c r="J9">
        <v>0</v>
      </c>
      <c r="K9">
        <v>0</v>
      </c>
      <c r="L9" s="19"/>
      <c r="M9">
        <v>0</v>
      </c>
      <c r="N9">
        <v>0</v>
      </c>
      <c r="O9">
        <v>0</v>
      </c>
      <c r="P9" s="19"/>
      <c r="Q9">
        <v>0</v>
      </c>
      <c r="R9" s="19"/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37">
      <c r="A10" s="4" t="s">
        <v>75</v>
      </c>
      <c r="B10" s="5">
        <f ca="1">C10+D10+SUM(G10:AK10)</f>
        <v>839.58</v>
      </c>
      <c r="C10" s="8">
        <f ca="1">C10+D10+SUM(G10:AK10)</f>
        <v>0</v>
      </c>
      <c r="D10" s="8">
        <v>744</v>
      </c>
      <c r="E10" s="5">
        <f>SUM(G10:AK10)</f>
        <v>277.07</v>
      </c>
      <c r="F10" s="4">
        <f>D9+SUM(G10:AK10)</f>
        <v>277.07</v>
      </c>
      <c r="G10">
        <v>20.09</v>
      </c>
      <c r="H10">
        <v>17.34</v>
      </c>
      <c r="I10">
        <v>12.44</v>
      </c>
      <c r="J10">
        <v>10.56</v>
      </c>
      <c r="K10">
        <v>9.34</v>
      </c>
      <c r="L10" s="19"/>
      <c r="M10">
        <v>18.09</v>
      </c>
      <c r="N10">
        <v>3.43</v>
      </c>
      <c r="O10">
        <v>4.29</v>
      </c>
      <c r="P10" s="19"/>
      <c r="Q10">
        <v>3.49</v>
      </c>
      <c r="R10" s="19"/>
      <c r="S10">
        <v>25.26</v>
      </c>
      <c r="T10">
        <v>20.18</v>
      </c>
      <c r="U10">
        <v>22.07</v>
      </c>
      <c r="V10">
        <v>16.13</v>
      </c>
      <c r="W10">
        <v>30.32</v>
      </c>
      <c r="X10">
        <v>36.04</v>
      </c>
      <c r="Y10">
        <v>28</v>
      </c>
    </row>
    <row r="11" spans="1:37">
      <c r="A11" s="4" t="s">
        <v>78</v>
      </c>
      <c r="B11" s="4">
        <f t="shared" si="0"/>
        <v>69</v>
      </c>
      <c r="C11" s="4">
        <v>28</v>
      </c>
      <c r="D11" s="4">
        <v>32</v>
      </c>
      <c r="E11" s="4">
        <f>SUM(G11:AK11)</f>
        <v>9</v>
      </c>
      <c r="F11" s="4">
        <f>D11+SUM(G11:AK11)</f>
        <v>41</v>
      </c>
      <c r="G11">
        <v>2</v>
      </c>
      <c r="H11">
        <v>2</v>
      </c>
      <c r="I11">
        <v>1</v>
      </c>
      <c r="J11">
        <v>0</v>
      </c>
      <c r="K11">
        <v>0</v>
      </c>
      <c r="L11" s="19"/>
      <c r="M11">
        <v>0</v>
      </c>
      <c r="N11">
        <v>0</v>
      </c>
      <c r="O11">
        <v>0</v>
      </c>
      <c r="P11" s="19"/>
      <c r="Q11">
        <v>0</v>
      </c>
      <c r="R11" s="19"/>
      <c r="S11">
        <v>1</v>
      </c>
      <c r="T11">
        <v>1</v>
      </c>
      <c r="U11">
        <v>0</v>
      </c>
      <c r="V11">
        <v>0</v>
      </c>
      <c r="W11">
        <v>1</v>
      </c>
      <c r="X11">
        <v>0</v>
      </c>
      <c r="Y11">
        <v>1</v>
      </c>
    </row>
    <row r="12" spans="1:37">
      <c r="A12" s="4" t="s">
        <v>79</v>
      </c>
      <c r="B12" s="4">
        <f t="shared" si="0"/>
        <v>87</v>
      </c>
      <c r="C12" s="4">
        <v>40</v>
      </c>
      <c r="D12" s="4">
        <v>31</v>
      </c>
      <c r="E12" s="4">
        <f>SUM(G12:AK12)</f>
        <v>16</v>
      </c>
      <c r="F12" s="4">
        <f>D12+SUM(G12:AK12)</f>
        <v>47</v>
      </c>
      <c r="G12">
        <v>1</v>
      </c>
      <c r="H12">
        <v>1</v>
      </c>
      <c r="I12">
        <v>1</v>
      </c>
      <c r="J12">
        <v>1</v>
      </c>
      <c r="K12">
        <v>1</v>
      </c>
      <c r="L12" s="19"/>
      <c r="M12">
        <v>1</v>
      </c>
      <c r="N12">
        <v>1</v>
      </c>
      <c r="O12">
        <v>1</v>
      </c>
      <c r="P12" s="19"/>
      <c r="Q12">
        <v>1</v>
      </c>
      <c r="R12" s="19"/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</row>
    <row r="15" spans="1:37" ht="15">
      <c r="A15" s="3" t="s">
        <v>68</v>
      </c>
      <c r="B15" s="3" t="s">
        <v>71</v>
      </c>
      <c r="C15" s="3" t="s">
        <v>69</v>
      </c>
      <c r="D15" s="40" t="s">
        <v>117</v>
      </c>
      <c r="E15" s="7">
        <v>46113</v>
      </c>
    </row>
    <row r="16" spans="1:37">
      <c r="A16" s="4" t="s">
        <v>35</v>
      </c>
      <c r="B16" s="4">
        <f>C16+SUM(E16:BD16)</f>
        <v>23</v>
      </c>
      <c r="C16" s="4">
        <v>23</v>
      </c>
      <c r="D16" s="4">
        <f>SUM(E16:AI16)</f>
        <v>0</v>
      </c>
      <c r="E16" s="18"/>
    </row>
    <row r="17" spans="1:5">
      <c r="A17" s="4" t="s">
        <v>25</v>
      </c>
      <c r="B17" s="4">
        <f t="shared" ref="B17:B26" si="3">C17+SUM(E17:BD17)</f>
        <v>10</v>
      </c>
      <c r="C17" s="4">
        <v>10</v>
      </c>
      <c r="D17" s="4">
        <f t="shared" ref="D17:D26" si="4">SUM(E17:AI17)</f>
        <v>0</v>
      </c>
      <c r="E17" s="18"/>
    </row>
    <row r="18" spans="1:5">
      <c r="A18" s="4" t="s">
        <v>27</v>
      </c>
      <c r="B18" s="4">
        <f t="shared" si="3"/>
        <v>7</v>
      </c>
      <c r="C18" s="4">
        <v>7</v>
      </c>
      <c r="D18" s="4">
        <f t="shared" si="4"/>
        <v>0</v>
      </c>
      <c r="E18" s="18"/>
    </row>
    <row r="19" spans="1:5">
      <c r="A19" s="4" t="s">
        <v>12</v>
      </c>
      <c r="B19" s="4">
        <f t="shared" si="3"/>
        <v>1</v>
      </c>
      <c r="C19" s="4">
        <v>1</v>
      </c>
      <c r="D19" s="4">
        <f t="shared" si="4"/>
        <v>0</v>
      </c>
      <c r="E19" s="18"/>
    </row>
    <row r="20" spans="1:5">
      <c r="A20" s="4" t="s">
        <v>21</v>
      </c>
      <c r="B20" s="4">
        <f t="shared" si="3"/>
        <v>0</v>
      </c>
      <c r="C20" s="4">
        <v>0</v>
      </c>
      <c r="D20" s="4">
        <f t="shared" si="4"/>
        <v>0</v>
      </c>
      <c r="E20" s="18"/>
    </row>
    <row r="21" spans="1:5">
      <c r="A21" s="4" t="s">
        <v>73</v>
      </c>
      <c r="B21" s="4">
        <f t="shared" si="3"/>
        <v>5</v>
      </c>
      <c r="C21" s="4">
        <v>5</v>
      </c>
      <c r="D21" s="4">
        <f t="shared" si="4"/>
        <v>0</v>
      </c>
      <c r="E21" s="18"/>
    </row>
    <row r="22" spans="1:5">
      <c r="A22" s="4" t="s">
        <v>38</v>
      </c>
      <c r="B22" s="4">
        <f t="shared" si="3"/>
        <v>3</v>
      </c>
      <c r="C22" s="4">
        <v>3</v>
      </c>
      <c r="D22" s="4">
        <f t="shared" si="4"/>
        <v>0</v>
      </c>
      <c r="E22" s="18"/>
    </row>
    <row r="23" spans="1:5">
      <c r="A23" s="4" t="s">
        <v>74</v>
      </c>
      <c r="B23" s="4">
        <f t="shared" si="3"/>
        <v>0</v>
      </c>
      <c r="C23" s="4">
        <v>0</v>
      </c>
      <c r="D23" s="4">
        <f t="shared" si="4"/>
        <v>0</v>
      </c>
      <c r="E23" s="18"/>
    </row>
    <row r="24" spans="1:5">
      <c r="A24" s="4" t="s">
        <v>75</v>
      </c>
      <c r="B24" s="4">
        <f t="shared" si="3"/>
        <v>45</v>
      </c>
      <c r="C24" s="4">
        <v>45</v>
      </c>
      <c r="D24" s="4">
        <f t="shared" si="4"/>
        <v>0</v>
      </c>
      <c r="E24" s="18"/>
    </row>
    <row r="25" spans="1:5">
      <c r="A25" s="4" t="s">
        <v>78</v>
      </c>
      <c r="B25" s="4">
        <f t="shared" si="3"/>
        <v>4</v>
      </c>
      <c r="C25" s="4">
        <v>4</v>
      </c>
      <c r="D25" s="4">
        <f t="shared" si="4"/>
        <v>0</v>
      </c>
      <c r="E25" s="18"/>
    </row>
    <row r="26" spans="1:5">
      <c r="A26" s="4" t="s">
        <v>79</v>
      </c>
      <c r="B26" s="4">
        <f t="shared" si="3"/>
        <v>2</v>
      </c>
      <c r="C26" s="4">
        <v>2</v>
      </c>
      <c r="D26" s="4">
        <f t="shared" si="4"/>
        <v>0</v>
      </c>
      <c r="E26" s="18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FECFD-72AA-4581-A834-28A36303F28A}">
  <dimension ref="A1:BC26"/>
  <sheetViews>
    <sheetView topLeftCell="A5" zoomScale="96" zoomScaleNormal="96" workbookViewId="0">
      <selection activeCell="G17" sqref="G17"/>
    </sheetView>
  </sheetViews>
  <sheetFormatPr defaultRowHeight="15" customHeight="1"/>
  <cols>
    <col min="1" max="1" width="21.28515625" style="4" customWidth="1"/>
    <col min="2" max="2" width="12.7109375" style="4" customWidth="1"/>
    <col min="3" max="3" width="11.140625" style="4" customWidth="1"/>
    <col min="4" max="4" width="12.28515625" style="4" customWidth="1"/>
    <col min="5" max="5" width="9.140625" style="4"/>
    <col min="6" max="7" width="8.7109375" style="4"/>
    <col min="8" max="9" width="9.140625" style="4"/>
  </cols>
  <sheetData>
    <row r="1" spans="1:55">
      <c r="A1" s="3" t="s">
        <v>118</v>
      </c>
      <c r="B1" s="3" t="s">
        <v>71</v>
      </c>
      <c r="C1" s="3" t="s">
        <v>81</v>
      </c>
      <c r="D1" s="3" t="s">
        <v>89</v>
      </c>
      <c r="E1" s="3" t="s">
        <v>11</v>
      </c>
      <c r="F1" s="7">
        <v>45968</v>
      </c>
      <c r="G1" s="7">
        <v>45970</v>
      </c>
      <c r="H1" s="7">
        <v>45975</v>
      </c>
      <c r="I1" s="7">
        <v>45976</v>
      </c>
      <c r="J1" s="6">
        <v>45983</v>
      </c>
      <c r="K1" s="6">
        <v>45985</v>
      </c>
      <c r="L1" s="6">
        <v>45987</v>
      </c>
      <c r="M1" s="6">
        <v>45990</v>
      </c>
      <c r="N1" s="6">
        <v>45992</v>
      </c>
      <c r="O1" s="6">
        <v>45996</v>
      </c>
      <c r="P1" s="6">
        <v>45997</v>
      </c>
      <c r="Q1" s="6">
        <v>46000</v>
      </c>
      <c r="R1" s="6">
        <v>46001</v>
      </c>
      <c r="S1" s="6">
        <v>46003</v>
      </c>
      <c r="T1" s="6">
        <v>46011</v>
      </c>
      <c r="U1" s="6">
        <v>46013</v>
      </c>
      <c r="V1" s="6">
        <v>46019</v>
      </c>
      <c r="W1" s="6">
        <v>45659</v>
      </c>
      <c r="X1" s="6">
        <v>45661</v>
      </c>
      <c r="Y1" s="6">
        <v>45663</v>
      </c>
      <c r="Z1" s="6">
        <v>45665</v>
      </c>
      <c r="AA1" s="6">
        <v>45666</v>
      </c>
      <c r="AB1" s="6">
        <v>45669</v>
      </c>
      <c r="AC1" s="6">
        <v>45671</v>
      </c>
      <c r="AD1" s="6">
        <v>46040</v>
      </c>
      <c r="AE1" s="6">
        <v>46041</v>
      </c>
      <c r="AF1" s="6">
        <v>46043</v>
      </c>
      <c r="AG1" s="6">
        <v>46045</v>
      </c>
      <c r="AH1" s="6">
        <v>46048</v>
      </c>
      <c r="AI1" s="6">
        <v>46050</v>
      </c>
      <c r="AJ1" s="6">
        <v>46055</v>
      </c>
      <c r="AK1" s="6">
        <v>46058</v>
      </c>
      <c r="AL1" s="6">
        <v>46059</v>
      </c>
      <c r="AM1" s="6">
        <v>46061</v>
      </c>
      <c r="AN1" s="6">
        <v>46063</v>
      </c>
      <c r="AO1" s="6">
        <v>46065</v>
      </c>
      <c r="AP1" s="6">
        <v>46072</v>
      </c>
      <c r="AQ1" s="6">
        <v>46073</v>
      </c>
      <c r="AR1" s="6">
        <v>46078</v>
      </c>
      <c r="AS1" s="6">
        <v>46079</v>
      </c>
      <c r="AT1" s="6">
        <v>46082</v>
      </c>
      <c r="AU1" s="6">
        <v>46085</v>
      </c>
      <c r="AV1" s="6">
        <v>46087</v>
      </c>
      <c r="AW1" s="6">
        <v>46096</v>
      </c>
      <c r="AX1" s="6">
        <v>46098</v>
      </c>
      <c r="AY1" s="6">
        <v>46100</v>
      </c>
      <c r="AZ1" s="6">
        <v>46103</v>
      </c>
      <c r="BA1" s="6">
        <v>46105</v>
      </c>
      <c r="BB1" s="6">
        <v>46106</v>
      </c>
      <c r="BC1" s="6">
        <v>46109</v>
      </c>
    </row>
    <row r="2" spans="1:55">
      <c r="A2" s="4" t="s">
        <v>35</v>
      </c>
      <c r="B2" s="5">
        <f>C2+SUM(F2:BC2)</f>
        <v>2132</v>
      </c>
      <c r="C2" s="5">
        <v>1566</v>
      </c>
      <c r="D2" s="4">
        <v>394</v>
      </c>
      <c r="E2" s="4">
        <f>D2+SUM(F2:BC2)</f>
        <v>960</v>
      </c>
      <c r="F2" s="4">
        <v>18</v>
      </c>
      <c r="G2" s="4">
        <v>6</v>
      </c>
      <c r="H2" s="4">
        <v>3</v>
      </c>
      <c r="I2" s="4">
        <v>14</v>
      </c>
      <c r="J2" s="4">
        <v>19</v>
      </c>
      <c r="K2" s="4">
        <v>13</v>
      </c>
      <c r="L2" s="4">
        <v>18</v>
      </c>
      <c r="M2">
        <v>27</v>
      </c>
      <c r="N2">
        <v>17</v>
      </c>
      <c r="O2">
        <v>14</v>
      </c>
      <c r="P2">
        <v>12</v>
      </c>
      <c r="Q2">
        <v>12</v>
      </c>
      <c r="R2">
        <v>20</v>
      </c>
      <c r="S2">
        <v>13</v>
      </c>
      <c r="T2">
        <v>15</v>
      </c>
      <c r="U2">
        <v>11</v>
      </c>
      <c r="V2">
        <v>10</v>
      </c>
      <c r="W2">
        <v>22</v>
      </c>
      <c r="X2">
        <v>7</v>
      </c>
      <c r="Y2">
        <v>9</v>
      </c>
      <c r="Z2">
        <v>17</v>
      </c>
      <c r="AA2">
        <v>16</v>
      </c>
      <c r="AB2">
        <v>7</v>
      </c>
      <c r="AC2">
        <v>9</v>
      </c>
      <c r="AD2">
        <v>17</v>
      </c>
      <c r="AE2">
        <v>15</v>
      </c>
      <c r="AF2">
        <v>3</v>
      </c>
      <c r="AG2">
        <v>13</v>
      </c>
      <c r="AH2">
        <v>10</v>
      </c>
      <c r="AI2">
        <v>14</v>
      </c>
      <c r="AJ2">
        <v>4</v>
      </c>
      <c r="AK2">
        <v>16</v>
      </c>
      <c r="AL2">
        <v>16</v>
      </c>
      <c r="AM2">
        <v>6</v>
      </c>
      <c r="AN2">
        <v>2</v>
      </c>
      <c r="AO2" s="19"/>
      <c r="AP2">
        <v>8</v>
      </c>
      <c r="AQ2">
        <v>9</v>
      </c>
      <c r="AR2">
        <v>13</v>
      </c>
      <c r="AS2">
        <v>0</v>
      </c>
      <c r="AT2">
        <v>13</v>
      </c>
      <c r="AU2">
        <v>3</v>
      </c>
      <c r="AV2">
        <v>4</v>
      </c>
      <c r="AW2">
        <v>13</v>
      </c>
      <c r="AX2">
        <v>12</v>
      </c>
      <c r="AY2">
        <v>16</v>
      </c>
      <c r="AZ2">
        <v>22</v>
      </c>
      <c r="BA2" s="19"/>
      <c r="BB2" s="19"/>
      <c r="BC2">
        <v>8</v>
      </c>
    </row>
    <row r="3" spans="1:55">
      <c r="A3" s="4" t="s">
        <v>25</v>
      </c>
      <c r="B3" s="4">
        <f>C3+SUM(F3:BC3)</f>
        <v>1118</v>
      </c>
      <c r="C3" s="4">
        <v>892</v>
      </c>
      <c r="D3" s="4">
        <v>242</v>
      </c>
      <c r="E3" s="4">
        <f>D3+SUM(F3:BC3)</f>
        <v>468</v>
      </c>
      <c r="F3" s="4">
        <v>5</v>
      </c>
      <c r="G3" s="4">
        <v>4</v>
      </c>
      <c r="H3" s="4">
        <v>1</v>
      </c>
      <c r="I3" s="4">
        <v>12</v>
      </c>
      <c r="J3" s="4">
        <v>8</v>
      </c>
      <c r="K3" s="4">
        <v>4</v>
      </c>
      <c r="L3" s="4">
        <v>10</v>
      </c>
      <c r="M3">
        <v>5</v>
      </c>
      <c r="N3">
        <v>2</v>
      </c>
      <c r="O3">
        <v>6</v>
      </c>
      <c r="P3">
        <v>6</v>
      </c>
      <c r="Q3">
        <v>7</v>
      </c>
      <c r="R3">
        <v>5</v>
      </c>
      <c r="S3">
        <v>7</v>
      </c>
      <c r="T3">
        <v>4</v>
      </c>
      <c r="U3">
        <v>7</v>
      </c>
      <c r="V3">
        <v>6</v>
      </c>
      <c r="W3">
        <v>5</v>
      </c>
      <c r="X3">
        <v>3</v>
      </c>
      <c r="Y3">
        <v>5</v>
      </c>
      <c r="Z3">
        <v>8</v>
      </c>
      <c r="AA3">
        <v>9</v>
      </c>
      <c r="AB3">
        <v>4</v>
      </c>
      <c r="AC3">
        <v>4</v>
      </c>
      <c r="AD3">
        <v>3</v>
      </c>
      <c r="AE3">
        <v>5</v>
      </c>
      <c r="AF3">
        <v>1</v>
      </c>
      <c r="AG3">
        <v>2</v>
      </c>
      <c r="AH3">
        <v>5</v>
      </c>
      <c r="AI3">
        <v>4</v>
      </c>
      <c r="AJ3">
        <v>1</v>
      </c>
      <c r="AK3">
        <v>4</v>
      </c>
      <c r="AL3">
        <v>2</v>
      </c>
      <c r="AM3">
        <v>0</v>
      </c>
      <c r="AN3">
        <v>1</v>
      </c>
      <c r="AO3" s="19"/>
      <c r="AP3">
        <v>3</v>
      </c>
      <c r="AQ3">
        <v>6</v>
      </c>
      <c r="AR3">
        <v>2</v>
      </c>
      <c r="AS3">
        <v>2</v>
      </c>
      <c r="AT3">
        <v>5</v>
      </c>
      <c r="AU3">
        <v>2</v>
      </c>
      <c r="AV3">
        <v>4</v>
      </c>
      <c r="AW3">
        <v>8</v>
      </c>
      <c r="AX3">
        <v>6</v>
      </c>
      <c r="AY3">
        <v>7</v>
      </c>
      <c r="AZ3">
        <v>7</v>
      </c>
      <c r="BA3" s="19"/>
      <c r="BB3" s="19"/>
      <c r="BC3">
        <v>9</v>
      </c>
    </row>
    <row r="4" spans="1:55">
      <c r="A4" s="4" t="s">
        <v>27</v>
      </c>
      <c r="B4" s="4">
        <f>C4+SUM(F4:BC4)</f>
        <v>353</v>
      </c>
      <c r="C4" s="4">
        <v>260</v>
      </c>
      <c r="D4" s="4">
        <v>67</v>
      </c>
      <c r="E4" s="4">
        <f>D4+SUM(F4:BC4)</f>
        <v>160</v>
      </c>
      <c r="F4" s="4">
        <v>1</v>
      </c>
      <c r="G4" s="4">
        <v>0</v>
      </c>
      <c r="H4" s="4">
        <v>1</v>
      </c>
      <c r="I4" s="4">
        <v>3</v>
      </c>
      <c r="J4" s="4">
        <v>4</v>
      </c>
      <c r="K4" s="4">
        <v>1</v>
      </c>
      <c r="L4" s="4">
        <v>2</v>
      </c>
      <c r="M4">
        <v>0</v>
      </c>
      <c r="N4">
        <v>3</v>
      </c>
      <c r="O4">
        <v>3</v>
      </c>
      <c r="P4">
        <v>4</v>
      </c>
      <c r="Q4">
        <v>3</v>
      </c>
      <c r="R4">
        <v>5</v>
      </c>
      <c r="S4">
        <v>6</v>
      </c>
      <c r="T4">
        <v>2</v>
      </c>
      <c r="U4">
        <v>4</v>
      </c>
      <c r="V4">
        <v>0</v>
      </c>
      <c r="W4">
        <v>2</v>
      </c>
      <c r="X4">
        <v>0</v>
      </c>
      <c r="Y4">
        <v>1</v>
      </c>
      <c r="Z4">
        <v>6</v>
      </c>
      <c r="AA4">
        <v>2</v>
      </c>
      <c r="AB4">
        <v>1</v>
      </c>
      <c r="AC4">
        <v>2</v>
      </c>
      <c r="AD4">
        <v>4</v>
      </c>
      <c r="AE4">
        <v>3</v>
      </c>
      <c r="AF4">
        <v>0</v>
      </c>
      <c r="AG4">
        <v>1</v>
      </c>
      <c r="AH4">
        <v>0</v>
      </c>
      <c r="AI4">
        <v>0</v>
      </c>
      <c r="AJ4">
        <v>0</v>
      </c>
      <c r="AK4">
        <v>1</v>
      </c>
      <c r="AL4">
        <v>1</v>
      </c>
      <c r="AM4">
        <v>2</v>
      </c>
      <c r="AN4">
        <v>3</v>
      </c>
      <c r="AO4" s="19"/>
      <c r="AP4">
        <v>1</v>
      </c>
      <c r="AQ4">
        <v>2</v>
      </c>
      <c r="AR4">
        <v>0</v>
      </c>
      <c r="AS4">
        <v>3</v>
      </c>
      <c r="AT4">
        <v>5</v>
      </c>
      <c r="AU4">
        <v>1</v>
      </c>
      <c r="AV4">
        <v>1</v>
      </c>
      <c r="AW4">
        <v>0</v>
      </c>
      <c r="AX4">
        <v>3</v>
      </c>
      <c r="AY4">
        <v>3</v>
      </c>
      <c r="AZ4">
        <v>2</v>
      </c>
      <c r="BA4" s="19"/>
      <c r="BB4" s="19"/>
      <c r="BC4">
        <v>1</v>
      </c>
    </row>
    <row r="5" spans="1:55">
      <c r="A5" s="4" t="s">
        <v>12</v>
      </c>
      <c r="B5" s="4">
        <f>C5+SUM(F5:BC5)</f>
        <v>221</v>
      </c>
      <c r="C5" s="4">
        <v>168</v>
      </c>
      <c r="D5" s="4">
        <v>48</v>
      </c>
      <c r="E5" s="4">
        <f>D5+SUM(F5:BC5)</f>
        <v>101</v>
      </c>
      <c r="F5" s="4">
        <v>0</v>
      </c>
      <c r="G5" s="4">
        <v>0</v>
      </c>
      <c r="H5" s="4">
        <v>0</v>
      </c>
      <c r="I5" s="4">
        <v>2</v>
      </c>
      <c r="J5" s="4">
        <v>0</v>
      </c>
      <c r="K5" s="4">
        <v>2</v>
      </c>
      <c r="L5" s="4">
        <v>1</v>
      </c>
      <c r="M5">
        <v>2</v>
      </c>
      <c r="N5">
        <v>0</v>
      </c>
      <c r="O5">
        <v>0</v>
      </c>
      <c r="P5">
        <v>2</v>
      </c>
      <c r="Q5">
        <v>0</v>
      </c>
      <c r="R5">
        <v>2</v>
      </c>
      <c r="S5">
        <v>2</v>
      </c>
      <c r="T5">
        <v>0</v>
      </c>
      <c r="U5">
        <v>3</v>
      </c>
      <c r="V5">
        <v>2</v>
      </c>
      <c r="W5">
        <v>6</v>
      </c>
      <c r="X5">
        <v>0</v>
      </c>
      <c r="Y5">
        <v>1</v>
      </c>
      <c r="Z5">
        <v>1</v>
      </c>
      <c r="AA5">
        <v>1</v>
      </c>
      <c r="AB5">
        <v>0</v>
      </c>
      <c r="AC5">
        <v>1</v>
      </c>
      <c r="AD5">
        <v>5</v>
      </c>
      <c r="AE5">
        <v>2</v>
      </c>
      <c r="AF5">
        <v>0</v>
      </c>
      <c r="AG5">
        <v>1</v>
      </c>
      <c r="AH5">
        <v>0</v>
      </c>
      <c r="AI5">
        <v>1</v>
      </c>
      <c r="AJ5">
        <v>0</v>
      </c>
      <c r="AK5">
        <v>1</v>
      </c>
      <c r="AL5">
        <v>1</v>
      </c>
      <c r="AM5">
        <v>2</v>
      </c>
      <c r="AN5">
        <v>0</v>
      </c>
      <c r="AO5" s="19"/>
      <c r="AP5">
        <v>0</v>
      </c>
      <c r="AQ5">
        <v>0</v>
      </c>
      <c r="AR5">
        <v>0</v>
      </c>
      <c r="AS5">
        <v>1</v>
      </c>
      <c r="AT5">
        <v>2</v>
      </c>
      <c r="AU5">
        <v>0</v>
      </c>
      <c r="AV5">
        <v>0</v>
      </c>
      <c r="AW5">
        <v>4</v>
      </c>
      <c r="AX5">
        <v>4</v>
      </c>
      <c r="AY5">
        <v>1</v>
      </c>
      <c r="AZ5">
        <v>0</v>
      </c>
      <c r="BA5" s="19"/>
      <c r="BB5" s="19"/>
      <c r="BC5">
        <v>0</v>
      </c>
    </row>
    <row r="6" spans="1:55">
      <c r="A6" s="4" t="s">
        <v>21</v>
      </c>
      <c r="B6" s="4">
        <f>C6+SUM(F6:BC6)</f>
        <v>82</v>
      </c>
      <c r="C6" s="4">
        <v>68</v>
      </c>
      <c r="D6" s="4">
        <v>15</v>
      </c>
      <c r="E6" s="4">
        <f>D6+SUM(F6:BC6)</f>
        <v>29</v>
      </c>
      <c r="F6" s="4">
        <v>0</v>
      </c>
      <c r="G6" s="4">
        <v>0</v>
      </c>
      <c r="H6" s="4">
        <v>0</v>
      </c>
      <c r="I6" s="4">
        <v>0</v>
      </c>
      <c r="J6" s="4">
        <v>1</v>
      </c>
      <c r="K6" s="4">
        <v>0</v>
      </c>
      <c r="L6" s="4">
        <v>2</v>
      </c>
      <c r="M6">
        <v>1</v>
      </c>
      <c r="N6">
        <v>0</v>
      </c>
      <c r="O6">
        <v>1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1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>
        <v>1</v>
      </c>
      <c r="AL6">
        <v>0</v>
      </c>
      <c r="AM6">
        <v>0</v>
      </c>
      <c r="AN6">
        <v>0</v>
      </c>
      <c r="AO6" s="19"/>
      <c r="AP6">
        <v>0</v>
      </c>
      <c r="AQ6">
        <v>0</v>
      </c>
      <c r="AR6">
        <v>1</v>
      </c>
      <c r="AS6">
        <v>0</v>
      </c>
      <c r="AT6">
        <v>1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 s="19"/>
      <c r="BB6" s="19"/>
      <c r="BC6">
        <v>0</v>
      </c>
    </row>
    <row r="7" spans="1:55">
      <c r="A7" s="4" t="s">
        <v>73</v>
      </c>
      <c r="B7" s="38">
        <f>C7+SUM(F7:BC7)</f>
        <v>840</v>
      </c>
      <c r="C7" s="4">
        <v>621</v>
      </c>
      <c r="D7" s="4">
        <v>155</v>
      </c>
      <c r="E7" s="38">
        <f>D7+SUM(F7:BC7)</f>
        <v>374</v>
      </c>
      <c r="F7" s="38">
        <v>8</v>
      </c>
      <c r="G7" s="38">
        <v>3</v>
      </c>
      <c r="H7" s="38">
        <v>1</v>
      </c>
      <c r="I7" s="38">
        <v>5</v>
      </c>
      <c r="J7" s="38">
        <v>8</v>
      </c>
      <c r="K7" s="38">
        <v>5</v>
      </c>
      <c r="L7" s="38">
        <v>7</v>
      </c>
      <c r="M7" s="39">
        <v>10</v>
      </c>
      <c r="N7" s="39">
        <v>6</v>
      </c>
      <c r="O7" s="39">
        <v>6</v>
      </c>
      <c r="P7" s="39">
        <v>4</v>
      </c>
      <c r="Q7" s="39">
        <v>3</v>
      </c>
      <c r="R7" s="39">
        <v>8</v>
      </c>
      <c r="S7" s="39">
        <v>5</v>
      </c>
      <c r="T7" s="39">
        <v>6</v>
      </c>
      <c r="U7" s="39">
        <v>3</v>
      </c>
      <c r="V7" s="39">
        <v>4</v>
      </c>
      <c r="W7" s="39">
        <v>9</v>
      </c>
      <c r="X7" s="39">
        <v>2</v>
      </c>
      <c r="Y7" s="39">
        <v>3</v>
      </c>
      <c r="Z7" s="39">
        <v>7</v>
      </c>
      <c r="AA7" s="39">
        <v>6</v>
      </c>
      <c r="AB7" s="39">
        <v>3</v>
      </c>
      <c r="AC7" s="39">
        <v>4</v>
      </c>
      <c r="AD7" s="39">
        <v>6</v>
      </c>
      <c r="AE7" s="39">
        <v>5</v>
      </c>
      <c r="AF7" s="39">
        <v>1</v>
      </c>
      <c r="AG7" s="39">
        <v>5</v>
      </c>
      <c r="AH7" s="39">
        <v>4</v>
      </c>
      <c r="AI7" s="39">
        <v>5</v>
      </c>
      <c r="AJ7" s="39">
        <v>2</v>
      </c>
      <c r="AK7" s="39">
        <v>7</v>
      </c>
      <c r="AL7" s="39">
        <v>6</v>
      </c>
      <c r="AM7" s="39">
        <v>2</v>
      </c>
      <c r="AN7" s="39">
        <v>1</v>
      </c>
      <c r="AO7" s="19"/>
      <c r="AP7">
        <v>3</v>
      </c>
      <c r="AQ7">
        <v>4</v>
      </c>
      <c r="AR7">
        <v>5</v>
      </c>
      <c r="AS7">
        <v>0</v>
      </c>
      <c r="AT7">
        <v>5</v>
      </c>
      <c r="AU7">
        <v>1</v>
      </c>
      <c r="AV7">
        <v>2</v>
      </c>
      <c r="AW7">
        <v>5</v>
      </c>
      <c r="AX7">
        <v>4</v>
      </c>
      <c r="AY7">
        <v>6</v>
      </c>
      <c r="AZ7">
        <v>10</v>
      </c>
      <c r="BA7" s="19"/>
      <c r="BB7" s="19"/>
      <c r="BC7">
        <v>4</v>
      </c>
    </row>
    <row r="8" spans="1:55">
      <c r="A8" s="4" t="s">
        <v>38</v>
      </c>
      <c r="B8" s="4">
        <f>C8+SUM(F8:BC8)</f>
        <v>268</v>
      </c>
      <c r="C8" s="4">
        <v>186</v>
      </c>
      <c r="D8" s="4">
        <v>46</v>
      </c>
      <c r="E8" s="4">
        <f>D8+SUM(F8:BC8)</f>
        <v>128</v>
      </c>
      <c r="F8" s="4">
        <v>2</v>
      </c>
      <c r="G8" s="4">
        <v>0</v>
      </c>
      <c r="H8" s="4">
        <v>1</v>
      </c>
      <c r="I8" s="4">
        <v>2</v>
      </c>
      <c r="J8" s="4">
        <v>3</v>
      </c>
      <c r="K8" s="4">
        <v>3</v>
      </c>
      <c r="L8" s="4">
        <v>4</v>
      </c>
      <c r="M8">
        <v>4</v>
      </c>
      <c r="N8">
        <v>3</v>
      </c>
      <c r="O8">
        <v>2</v>
      </c>
      <c r="P8">
        <v>2</v>
      </c>
      <c r="Q8">
        <v>2</v>
      </c>
      <c r="R8">
        <v>2</v>
      </c>
      <c r="S8">
        <v>3</v>
      </c>
      <c r="T8">
        <v>3</v>
      </c>
      <c r="U8">
        <v>1</v>
      </c>
      <c r="V8">
        <v>2</v>
      </c>
      <c r="W8">
        <v>1</v>
      </c>
      <c r="X8">
        <v>1</v>
      </c>
      <c r="Y8">
        <v>1</v>
      </c>
      <c r="Z8">
        <v>3</v>
      </c>
      <c r="AA8">
        <v>2</v>
      </c>
      <c r="AB8">
        <v>1</v>
      </c>
      <c r="AC8">
        <v>1</v>
      </c>
      <c r="AD8">
        <v>1</v>
      </c>
      <c r="AE8">
        <v>1</v>
      </c>
      <c r="AF8">
        <v>1</v>
      </c>
      <c r="AG8">
        <v>3</v>
      </c>
      <c r="AH8">
        <v>2</v>
      </c>
      <c r="AI8">
        <v>3</v>
      </c>
      <c r="AJ8">
        <v>0</v>
      </c>
      <c r="AK8">
        <v>2</v>
      </c>
      <c r="AL8">
        <v>1</v>
      </c>
      <c r="AM8">
        <v>2</v>
      </c>
      <c r="AN8">
        <v>0</v>
      </c>
      <c r="AO8" s="19"/>
      <c r="AP8">
        <v>2</v>
      </c>
      <c r="AQ8">
        <v>1</v>
      </c>
      <c r="AR8">
        <v>3</v>
      </c>
      <c r="AS8">
        <v>0</v>
      </c>
      <c r="AT8">
        <v>1</v>
      </c>
      <c r="AU8">
        <v>1</v>
      </c>
      <c r="AV8">
        <v>0</v>
      </c>
      <c r="AW8">
        <v>1</v>
      </c>
      <c r="AX8">
        <v>2</v>
      </c>
      <c r="AY8">
        <v>4</v>
      </c>
      <c r="AZ8">
        <v>2</v>
      </c>
      <c r="BA8" s="19"/>
      <c r="BB8" s="19"/>
      <c r="BC8">
        <v>0</v>
      </c>
    </row>
    <row r="9" spans="1:55">
      <c r="A9" s="4" t="s">
        <v>74</v>
      </c>
      <c r="B9" s="4">
        <f>C9+SUM(F9:BC9)</f>
        <v>24</v>
      </c>
      <c r="C9" s="4">
        <v>22</v>
      </c>
      <c r="D9" s="4">
        <v>8</v>
      </c>
      <c r="E9" s="4">
        <f>D9+SUM(F9:BC9)</f>
        <v>10</v>
      </c>
      <c r="F9" s="4">
        <v>0</v>
      </c>
      <c r="G9" s="4">
        <v>0</v>
      </c>
      <c r="H9" s="4">
        <v>0</v>
      </c>
      <c r="I9" s="4">
        <v>1</v>
      </c>
      <c r="J9" s="4">
        <v>0</v>
      </c>
      <c r="K9" s="4">
        <v>0</v>
      </c>
      <c r="L9" s="4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 s="19"/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 s="19"/>
      <c r="BB9" s="19"/>
      <c r="BC9">
        <v>0</v>
      </c>
    </row>
    <row r="10" spans="1:55">
      <c r="A10" s="4" t="s">
        <v>75</v>
      </c>
      <c r="B10" s="5">
        <f>C10+SUM(F10:BC10)</f>
        <v>5636.07</v>
      </c>
      <c r="C10" s="8">
        <v>4381.3999999999996</v>
      </c>
      <c r="D10" s="8">
        <v>1087</v>
      </c>
      <c r="E10" s="8">
        <f>D9+SUM(F10:BC10)</f>
        <v>1262.6699999999998</v>
      </c>
      <c r="F10" s="10" t="s">
        <v>119</v>
      </c>
      <c r="G10" s="10" t="s">
        <v>120</v>
      </c>
      <c r="H10" s="4">
        <v>5.13</v>
      </c>
      <c r="I10" s="4">
        <v>37.1</v>
      </c>
      <c r="J10" s="4">
        <v>30.49</v>
      </c>
      <c r="K10" s="4">
        <v>33.43</v>
      </c>
      <c r="L10" s="4">
        <v>32.04</v>
      </c>
      <c r="M10">
        <v>39.32</v>
      </c>
      <c r="N10">
        <v>36.049999999999997</v>
      </c>
      <c r="O10">
        <v>32.03</v>
      </c>
      <c r="P10">
        <v>43.22</v>
      </c>
      <c r="Q10">
        <v>25.04</v>
      </c>
      <c r="R10">
        <v>31.22</v>
      </c>
      <c r="S10">
        <v>35.01</v>
      </c>
      <c r="T10">
        <v>32.15</v>
      </c>
      <c r="U10">
        <v>30.51</v>
      </c>
      <c r="V10">
        <v>25.18</v>
      </c>
      <c r="W10">
        <v>41.16</v>
      </c>
      <c r="X10">
        <v>21.59</v>
      </c>
      <c r="Y10">
        <v>24.36</v>
      </c>
      <c r="Z10">
        <v>37.5</v>
      </c>
      <c r="AA10">
        <v>37.26</v>
      </c>
      <c r="AB10">
        <v>29.59</v>
      </c>
      <c r="AC10">
        <v>25.35</v>
      </c>
      <c r="AD10">
        <v>37.25</v>
      </c>
      <c r="AE10">
        <v>30.13</v>
      </c>
      <c r="AF10">
        <v>16.420000000000002</v>
      </c>
      <c r="AG10">
        <v>29.16</v>
      </c>
      <c r="AH10">
        <v>22.12</v>
      </c>
      <c r="AI10">
        <v>23.41</v>
      </c>
      <c r="AJ10">
        <v>16.18</v>
      </c>
      <c r="AK10">
        <v>24.06</v>
      </c>
      <c r="AL10">
        <v>27.29</v>
      </c>
      <c r="AM10">
        <v>20.3</v>
      </c>
      <c r="AN10">
        <v>10.45</v>
      </c>
      <c r="AO10" s="19"/>
      <c r="AP10">
        <v>18.25</v>
      </c>
      <c r="AQ10">
        <v>13.58</v>
      </c>
      <c r="AR10">
        <v>21.03</v>
      </c>
      <c r="AS10">
        <v>15.58</v>
      </c>
      <c r="AT10">
        <v>27.48</v>
      </c>
      <c r="AU10">
        <v>20</v>
      </c>
      <c r="AV10">
        <v>24.29</v>
      </c>
      <c r="AW10">
        <v>31.54</v>
      </c>
      <c r="AX10">
        <v>42.51</v>
      </c>
      <c r="AY10">
        <v>41.25</v>
      </c>
      <c r="AZ10">
        <v>28.42</v>
      </c>
      <c r="BA10" s="19"/>
      <c r="BB10" s="19"/>
      <c r="BC10">
        <v>29.24</v>
      </c>
    </row>
    <row r="11" spans="1:55">
      <c r="A11" s="4" t="s">
        <v>78</v>
      </c>
      <c r="B11" s="4">
        <f>C11+SUM(F11:BC11)</f>
        <v>128</v>
      </c>
      <c r="C11" s="4">
        <v>100</v>
      </c>
      <c r="D11" s="4">
        <v>23</v>
      </c>
      <c r="E11" s="4">
        <f>D11+SUM(F11:BC11)</f>
        <v>51</v>
      </c>
      <c r="F11" s="4">
        <v>0</v>
      </c>
      <c r="G11" s="4">
        <v>0</v>
      </c>
      <c r="H11" s="4">
        <v>0</v>
      </c>
      <c r="I11" s="4">
        <v>1</v>
      </c>
      <c r="J11" s="4">
        <v>0</v>
      </c>
      <c r="K11" s="4">
        <v>0</v>
      </c>
      <c r="L11" s="4">
        <v>0</v>
      </c>
      <c r="M11">
        <v>2</v>
      </c>
      <c r="N11">
        <v>1</v>
      </c>
      <c r="O11">
        <v>0</v>
      </c>
      <c r="P11">
        <v>1</v>
      </c>
      <c r="Q11">
        <v>2</v>
      </c>
      <c r="R11">
        <v>2</v>
      </c>
      <c r="S11">
        <v>0</v>
      </c>
      <c r="T11">
        <v>0</v>
      </c>
      <c r="U11">
        <v>2</v>
      </c>
      <c r="V11">
        <v>0</v>
      </c>
      <c r="W11">
        <v>2</v>
      </c>
      <c r="X11">
        <v>1</v>
      </c>
      <c r="Y11">
        <v>1</v>
      </c>
      <c r="Z11">
        <v>0</v>
      </c>
      <c r="AA11">
        <v>2</v>
      </c>
      <c r="AB11">
        <v>0</v>
      </c>
      <c r="AC11">
        <v>0</v>
      </c>
      <c r="AD11">
        <v>2</v>
      </c>
      <c r="AE11">
        <v>3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2</v>
      </c>
      <c r="AM11">
        <v>0</v>
      </c>
      <c r="AN11">
        <v>0</v>
      </c>
      <c r="AO11" s="19"/>
      <c r="AP11">
        <v>0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0</v>
      </c>
      <c r="AW11">
        <v>1</v>
      </c>
      <c r="AX11">
        <v>1</v>
      </c>
      <c r="AY11">
        <v>0</v>
      </c>
      <c r="AZ11">
        <v>0</v>
      </c>
      <c r="BA11" s="19"/>
      <c r="BB11" s="19"/>
      <c r="BC11">
        <v>0</v>
      </c>
    </row>
    <row r="12" spans="1:55">
      <c r="A12" s="4" t="s">
        <v>79</v>
      </c>
      <c r="B12" s="4">
        <f>C12+SUM(F12:BC12)</f>
        <v>202</v>
      </c>
      <c r="C12" s="4">
        <v>155</v>
      </c>
      <c r="D12" s="4">
        <v>34</v>
      </c>
      <c r="E12" s="4">
        <f>D12+SUM(F12:BC12)</f>
        <v>81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 s="19"/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 s="19"/>
      <c r="BB12" s="19"/>
      <c r="BC12">
        <v>1</v>
      </c>
    </row>
    <row r="13" spans="1:55"/>
    <row r="15" spans="1:55" ht="15" customHeight="1">
      <c r="A15" s="3" t="s">
        <v>68</v>
      </c>
      <c r="B15" s="3" t="s">
        <v>71</v>
      </c>
      <c r="C15" s="3" t="s">
        <v>69</v>
      </c>
      <c r="D15" s="40" t="s">
        <v>117</v>
      </c>
      <c r="E15" s="7">
        <v>46113</v>
      </c>
    </row>
    <row r="16" spans="1:55" ht="15" customHeight="1">
      <c r="A16" s="4" t="s">
        <v>35</v>
      </c>
      <c r="B16" s="4">
        <f>C16+SUM(E16:BD16)</f>
        <v>12</v>
      </c>
      <c r="C16" s="4">
        <v>9</v>
      </c>
      <c r="D16" s="4">
        <f>SUM(E16:AI16)</f>
        <v>3</v>
      </c>
      <c r="E16" s="4">
        <v>3</v>
      </c>
    </row>
    <row r="17" spans="1:5" ht="15" customHeight="1">
      <c r="A17" s="4" t="s">
        <v>25</v>
      </c>
      <c r="B17" s="4">
        <f t="shared" ref="B17:B26" si="0">C17+SUM(E17:BD17)</f>
        <v>11</v>
      </c>
      <c r="C17" s="4">
        <v>8</v>
      </c>
      <c r="D17" s="4">
        <f t="shared" ref="D17:D26" si="1">SUM(E17:AI17)</f>
        <v>3</v>
      </c>
      <c r="E17" s="4">
        <v>3</v>
      </c>
    </row>
    <row r="18" spans="1:5" ht="15" customHeight="1">
      <c r="A18" s="4" t="s">
        <v>27</v>
      </c>
      <c r="B18" s="4">
        <f t="shared" si="0"/>
        <v>3</v>
      </c>
      <c r="C18" s="4">
        <v>2</v>
      </c>
      <c r="D18" s="4">
        <f t="shared" si="1"/>
        <v>1</v>
      </c>
      <c r="E18" s="4">
        <v>1</v>
      </c>
    </row>
    <row r="19" spans="1:5" ht="15" customHeight="1">
      <c r="A19" s="4" t="s">
        <v>12</v>
      </c>
      <c r="B19" s="4">
        <f t="shared" si="0"/>
        <v>0</v>
      </c>
      <c r="C19" s="4">
        <v>0</v>
      </c>
      <c r="D19" s="4">
        <f t="shared" si="1"/>
        <v>0</v>
      </c>
      <c r="E19" s="4">
        <v>0</v>
      </c>
    </row>
    <row r="20" spans="1:5" ht="15" customHeight="1">
      <c r="A20" s="4" t="s">
        <v>21</v>
      </c>
      <c r="B20" s="4">
        <f t="shared" si="0"/>
        <v>1</v>
      </c>
      <c r="C20" s="4">
        <v>1</v>
      </c>
      <c r="D20" s="4">
        <f t="shared" si="1"/>
        <v>0</v>
      </c>
      <c r="E20" s="4">
        <v>0</v>
      </c>
    </row>
    <row r="21" spans="1:5" ht="15" customHeight="1">
      <c r="A21" s="4" t="s">
        <v>73</v>
      </c>
      <c r="B21" s="4">
        <f t="shared" si="0"/>
        <v>5</v>
      </c>
      <c r="C21" s="4">
        <v>4</v>
      </c>
      <c r="D21" s="4">
        <f t="shared" si="1"/>
        <v>1</v>
      </c>
      <c r="E21" s="4">
        <v>1</v>
      </c>
    </row>
    <row r="22" spans="1:5" ht="15" customHeight="1">
      <c r="A22" s="4" t="s">
        <v>38</v>
      </c>
      <c r="B22" s="4">
        <f t="shared" si="0"/>
        <v>2</v>
      </c>
      <c r="C22" s="4">
        <v>1</v>
      </c>
      <c r="D22" s="4">
        <f t="shared" si="1"/>
        <v>1</v>
      </c>
      <c r="E22" s="4">
        <v>1</v>
      </c>
    </row>
    <row r="23" spans="1:5" ht="15" customHeight="1">
      <c r="A23" s="4" t="s">
        <v>74</v>
      </c>
      <c r="B23" s="4">
        <f t="shared" si="0"/>
        <v>0</v>
      </c>
      <c r="C23" s="4">
        <v>0</v>
      </c>
      <c r="D23" s="4">
        <f t="shared" si="1"/>
        <v>0</v>
      </c>
      <c r="E23" s="4">
        <v>0</v>
      </c>
    </row>
    <row r="24" spans="1:5" ht="15" customHeight="1">
      <c r="A24" s="4" t="s">
        <v>75</v>
      </c>
      <c r="B24" s="4">
        <f t="shared" si="0"/>
        <v>62.35</v>
      </c>
      <c r="C24" s="4">
        <v>49</v>
      </c>
      <c r="D24" s="4">
        <f t="shared" si="1"/>
        <v>13.35</v>
      </c>
      <c r="E24" s="4">
        <v>13.35</v>
      </c>
    </row>
    <row r="25" spans="1:5" ht="15" customHeight="1">
      <c r="A25" s="4" t="s">
        <v>78</v>
      </c>
      <c r="B25" s="4">
        <f t="shared" si="0"/>
        <v>0</v>
      </c>
      <c r="C25" s="4">
        <v>0</v>
      </c>
      <c r="D25" s="4">
        <f t="shared" si="1"/>
        <v>0</v>
      </c>
      <c r="E25" s="4">
        <v>0</v>
      </c>
    </row>
    <row r="26" spans="1:5" ht="15" customHeight="1">
      <c r="A26" s="4" t="s">
        <v>79</v>
      </c>
      <c r="B26" s="4">
        <f t="shared" si="0"/>
        <v>3</v>
      </c>
      <c r="C26" s="4">
        <v>2</v>
      </c>
      <c r="D26" s="4">
        <f t="shared" si="1"/>
        <v>1</v>
      </c>
      <c r="E26" s="4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0D0E9-D2E1-4D40-99D8-8FF1D445058C}">
  <dimension ref="A1:AC12"/>
  <sheetViews>
    <sheetView topLeftCell="L1" zoomScale="70" zoomScaleNormal="70" workbookViewId="0">
      <selection activeCell="Y13" sqref="Y13"/>
    </sheetView>
  </sheetViews>
  <sheetFormatPr defaultRowHeight="14.45"/>
  <cols>
    <col min="1" max="1" width="21.28515625" style="4" customWidth="1"/>
    <col min="2" max="3" width="12.7109375" style="4" customWidth="1"/>
    <col min="4" max="7" width="8.7109375" style="4"/>
    <col min="8" max="9" width="9.140625" style="4"/>
  </cols>
  <sheetData>
    <row r="1" spans="1:29">
      <c r="A1" s="3" t="s">
        <v>121</v>
      </c>
      <c r="B1" s="3" t="s">
        <v>71</v>
      </c>
      <c r="C1" s="3" t="s">
        <v>81</v>
      </c>
      <c r="D1" s="3" t="s">
        <v>11</v>
      </c>
      <c r="E1" s="3" t="s">
        <v>72</v>
      </c>
      <c r="F1" s="7">
        <v>45968</v>
      </c>
      <c r="G1" s="7">
        <v>45970</v>
      </c>
      <c r="H1" s="7">
        <v>45975</v>
      </c>
      <c r="I1" s="7">
        <v>45976</v>
      </c>
      <c r="J1" s="6">
        <v>45983</v>
      </c>
      <c r="K1" s="6">
        <v>45985</v>
      </c>
      <c r="L1" s="6">
        <v>45987</v>
      </c>
      <c r="M1" s="6">
        <v>45990</v>
      </c>
      <c r="N1" s="6">
        <v>45992</v>
      </c>
      <c r="O1" s="6">
        <v>45996</v>
      </c>
      <c r="P1" s="6">
        <v>45997</v>
      </c>
      <c r="Q1" s="6">
        <v>46000</v>
      </c>
      <c r="R1" s="6">
        <v>46001</v>
      </c>
      <c r="S1" s="6">
        <v>46003</v>
      </c>
      <c r="T1" s="6">
        <v>46011</v>
      </c>
      <c r="U1" s="6">
        <v>46013</v>
      </c>
      <c r="V1" s="6">
        <v>46019</v>
      </c>
      <c r="W1" s="6">
        <v>45659</v>
      </c>
      <c r="X1" s="6">
        <v>45661</v>
      </c>
      <c r="Y1" s="6">
        <v>45663</v>
      </c>
      <c r="Z1" s="6">
        <v>45665</v>
      </c>
      <c r="AA1" s="6">
        <v>45666</v>
      </c>
      <c r="AB1" s="6">
        <v>45669</v>
      </c>
      <c r="AC1" s="6">
        <v>45671</v>
      </c>
    </row>
    <row r="2" spans="1:29">
      <c r="A2" s="4" t="s">
        <v>35</v>
      </c>
      <c r="B2" s="5">
        <f t="shared" ref="B2:B12" si="0">C2+SUM(F2:AI2)</f>
        <v>1944</v>
      </c>
      <c r="C2" s="5">
        <v>1855</v>
      </c>
      <c r="D2" s="4">
        <f t="shared" ref="D2:D9" si="1">SUM(F2:AI2)</f>
        <v>89</v>
      </c>
      <c r="E2" s="4">
        <f t="shared" ref="E2:E9" si="2">SUM(F2:AI2)</f>
        <v>89</v>
      </c>
      <c r="F2" s="4">
        <v>6</v>
      </c>
      <c r="G2" s="4">
        <v>8</v>
      </c>
      <c r="H2" s="4">
        <v>6</v>
      </c>
      <c r="I2" s="4">
        <v>0</v>
      </c>
      <c r="J2" s="4">
        <v>13</v>
      </c>
      <c r="K2" s="4">
        <v>9</v>
      </c>
      <c r="L2" s="4">
        <v>0</v>
      </c>
      <c r="M2">
        <v>4</v>
      </c>
      <c r="N2">
        <v>0</v>
      </c>
      <c r="O2" s="19"/>
      <c r="P2" s="19"/>
      <c r="Q2" s="19"/>
      <c r="R2" s="19"/>
      <c r="S2">
        <v>20</v>
      </c>
      <c r="T2" s="19"/>
      <c r="U2">
        <v>0</v>
      </c>
      <c r="V2" s="19"/>
      <c r="W2">
        <v>4</v>
      </c>
      <c r="X2">
        <v>4</v>
      </c>
      <c r="Y2">
        <v>15</v>
      </c>
    </row>
    <row r="3" spans="1:29">
      <c r="A3" s="4" t="s">
        <v>25</v>
      </c>
      <c r="B3" s="4">
        <f t="shared" si="0"/>
        <v>492</v>
      </c>
      <c r="C3" s="4">
        <v>460</v>
      </c>
      <c r="D3" s="4">
        <f t="shared" si="1"/>
        <v>32</v>
      </c>
      <c r="E3" s="4">
        <f t="shared" si="2"/>
        <v>32</v>
      </c>
      <c r="F3" s="4">
        <v>5</v>
      </c>
      <c r="G3" s="4">
        <v>4</v>
      </c>
      <c r="H3" s="4">
        <v>5</v>
      </c>
      <c r="I3" s="4">
        <v>0</v>
      </c>
      <c r="J3" s="4">
        <v>1</v>
      </c>
      <c r="K3" s="4">
        <v>0</v>
      </c>
      <c r="L3" s="4">
        <v>0</v>
      </c>
      <c r="M3">
        <v>3</v>
      </c>
      <c r="N3">
        <v>1</v>
      </c>
      <c r="O3" s="19"/>
      <c r="P3" s="19"/>
      <c r="Q3" s="19"/>
      <c r="R3" s="19"/>
      <c r="S3">
        <v>6</v>
      </c>
      <c r="T3" s="19"/>
      <c r="U3">
        <v>0</v>
      </c>
      <c r="V3" s="19"/>
      <c r="W3">
        <v>1</v>
      </c>
      <c r="X3">
        <v>3</v>
      </c>
      <c r="Y3">
        <v>3</v>
      </c>
    </row>
    <row r="4" spans="1:29">
      <c r="A4" s="4" t="s">
        <v>27</v>
      </c>
      <c r="B4" s="4">
        <f t="shared" si="0"/>
        <v>225</v>
      </c>
      <c r="C4" s="4">
        <v>206</v>
      </c>
      <c r="D4" s="4">
        <f t="shared" si="1"/>
        <v>19</v>
      </c>
      <c r="E4" s="4">
        <f t="shared" si="2"/>
        <v>19</v>
      </c>
      <c r="F4" s="4">
        <v>0</v>
      </c>
      <c r="G4" s="4">
        <v>3</v>
      </c>
      <c r="H4" s="4">
        <v>1</v>
      </c>
      <c r="I4" s="4">
        <v>0</v>
      </c>
      <c r="J4" s="4">
        <v>2</v>
      </c>
      <c r="K4" s="4">
        <v>0</v>
      </c>
      <c r="L4" s="4">
        <v>1</v>
      </c>
      <c r="M4">
        <v>3</v>
      </c>
      <c r="N4">
        <v>0</v>
      </c>
      <c r="O4" s="19"/>
      <c r="P4" s="19"/>
      <c r="Q4" s="19"/>
      <c r="R4" s="19"/>
      <c r="S4">
        <v>4</v>
      </c>
      <c r="T4" s="19"/>
      <c r="U4">
        <v>0</v>
      </c>
      <c r="V4" s="19"/>
      <c r="W4">
        <v>1</v>
      </c>
      <c r="X4">
        <v>2</v>
      </c>
      <c r="Y4">
        <v>2</v>
      </c>
    </row>
    <row r="5" spans="1:29">
      <c r="A5" s="4" t="s">
        <v>12</v>
      </c>
      <c r="B5" s="4">
        <f t="shared" si="0"/>
        <v>121</v>
      </c>
      <c r="C5" s="4">
        <v>113</v>
      </c>
      <c r="D5" s="4">
        <f t="shared" si="1"/>
        <v>8</v>
      </c>
      <c r="E5" s="4">
        <f t="shared" si="2"/>
        <v>8</v>
      </c>
      <c r="F5" s="4">
        <v>0</v>
      </c>
      <c r="G5" s="4">
        <v>2</v>
      </c>
      <c r="H5" s="4">
        <v>1</v>
      </c>
      <c r="I5" s="4">
        <v>1</v>
      </c>
      <c r="J5" s="4">
        <v>0</v>
      </c>
      <c r="K5" s="4">
        <v>0</v>
      </c>
      <c r="L5" s="4">
        <v>0</v>
      </c>
      <c r="M5">
        <v>1</v>
      </c>
      <c r="N5">
        <v>0</v>
      </c>
      <c r="O5" s="19"/>
      <c r="P5" s="19"/>
      <c r="Q5" s="19"/>
      <c r="R5" s="19"/>
      <c r="S5">
        <v>2</v>
      </c>
      <c r="T5" s="19"/>
      <c r="U5">
        <v>0</v>
      </c>
      <c r="V5" s="19"/>
      <c r="W5">
        <v>0</v>
      </c>
      <c r="X5">
        <v>0</v>
      </c>
      <c r="Y5">
        <v>1</v>
      </c>
    </row>
    <row r="6" spans="1:29">
      <c r="A6" s="4" t="s">
        <v>21</v>
      </c>
      <c r="B6" s="4">
        <f t="shared" si="0"/>
        <v>69</v>
      </c>
      <c r="C6" s="4">
        <v>62</v>
      </c>
      <c r="D6" s="4">
        <f t="shared" si="1"/>
        <v>7</v>
      </c>
      <c r="E6" s="4">
        <f t="shared" si="2"/>
        <v>7</v>
      </c>
      <c r="F6" s="4">
        <v>1</v>
      </c>
      <c r="G6" s="4">
        <v>1</v>
      </c>
      <c r="H6" s="4">
        <v>0</v>
      </c>
      <c r="I6" s="4">
        <v>1</v>
      </c>
      <c r="J6" s="4">
        <v>1</v>
      </c>
      <c r="K6" s="4">
        <v>0</v>
      </c>
      <c r="L6" s="4">
        <v>0</v>
      </c>
      <c r="M6">
        <v>0</v>
      </c>
      <c r="N6">
        <v>0</v>
      </c>
      <c r="O6" s="19"/>
      <c r="P6" s="19"/>
      <c r="Q6" s="19"/>
      <c r="R6" s="19"/>
      <c r="S6">
        <v>1</v>
      </c>
      <c r="T6" s="19"/>
      <c r="U6">
        <v>0</v>
      </c>
      <c r="V6" s="19"/>
      <c r="W6">
        <v>1</v>
      </c>
      <c r="X6">
        <v>1</v>
      </c>
      <c r="Y6">
        <v>0</v>
      </c>
    </row>
    <row r="7" spans="1:29">
      <c r="A7" s="4" t="s">
        <v>73</v>
      </c>
      <c r="B7" s="4">
        <f t="shared" si="0"/>
        <v>709</v>
      </c>
      <c r="C7" s="4">
        <v>678</v>
      </c>
      <c r="D7" s="4">
        <f t="shared" si="1"/>
        <v>31</v>
      </c>
      <c r="E7" s="4">
        <f t="shared" si="2"/>
        <v>31</v>
      </c>
      <c r="F7" s="4">
        <v>3</v>
      </c>
      <c r="G7" s="4">
        <v>2</v>
      </c>
      <c r="H7" s="4">
        <v>3</v>
      </c>
      <c r="I7" s="4">
        <v>0</v>
      </c>
      <c r="J7" s="4">
        <v>3</v>
      </c>
      <c r="K7" s="4">
        <v>4</v>
      </c>
      <c r="L7" s="4">
        <v>0</v>
      </c>
      <c r="M7">
        <v>1</v>
      </c>
      <c r="N7">
        <v>0</v>
      </c>
      <c r="O7" s="19"/>
      <c r="P7" s="19"/>
      <c r="Q7" s="19"/>
      <c r="R7" s="19"/>
      <c r="S7">
        <v>8</v>
      </c>
      <c r="T7" s="19"/>
      <c r="U7">
        <v>0</v>
      </c>
      <c r="V7" s="19"/>
      <c r="W7">
        <v>1</v>
      </c>
      <c r="X7">
        <v>2</v>
      </c>
      <c r="Y7">
        <v>4</v>
      </c>
    </row>
    <row r="8" spans="1:29">
      <c r="A8" s="4" t="s">
        <v>38</v>
      </c>
      <c r="B8" s="4">
        <f t="shared" si="0"/>
        <v>217</v>
      </c>
      <c r="C8" s="4">
        <v>209</v>
      </c>
      <c r="D8" s="4">
        <f t="shared" si="1"/>
        <v>8</v>
      </c>
      <c r="E8" s="4">
        <f t="shared" si="2"/>
        <v>8</v>
      </c>
      <c r="F8" s="4">
        <v>0</v>
      </c>
      <c r="G8" s="4">
        <v>0</v>
      </c>
      <c r="H8" s="4">
        <v>0</v>
      </c>
      <c r="I8" s="4">
        <v>0</v>
      </c>
      <c r="J8" s="4">
        <v>3</v>
      </c>
      <c r="K8" s="4">
        <v>1</v>
      </c>
      <c r="L8" s="4">
        <v>0</v>
      </c>
      <c r="M8">
        <v>0</v>
      </c>
      <c r="N8">
        <v>0</v>
      </c>
      <c r="O8" s="19"/>
      <c r="P8" s="19"/>
      <c r="Q8" s="19"/>
      <c r="R8" s="19"/>
      <c r="S8">
        <v>2</v>
      </c>
      <c r="T8" s="19"/>
      <c r="U8">
        <v>0</v>
      </c>
      <c r="V8" s="19"/>
      <c r="W8">
        <v>0</v>
      </c>
      <c r="X8">
        <v>0</v>
      </c>
      <c r="Y8">
        <v>2</v>
      </c>
    </row>
    <row r="9" spans="1:29">
      <c r="A9" s="4" t="s">
        <v>74</v>
      </c>
      <c r="B9" s="4">
        <f t="shared" si="0"/>
        <v>5</v>
      </c>
      <c r="C9" s="4">
        <v>5</v>
      </c>
      <c r="D9" s="4">
        <f t="shared" si="1"/>
        <v>0</v>
      </c>
      <c r="E9" s="4">
        <f t="shared" si="2"/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>
        <v>0</v>
      </c>
      <c r="N9">
        <v>0</v>
      </c>
      <c r="O9" s="19"/>
      <c r="P9" s="19"/>
      <c r="Q9" s="19"/>
      <c r="R9" s="19"/>
      <c r="S9">
        <v>0</v>
      </c>
      <c r="T9" s="19"/>
      <c r="U9">
        <v>0</v>
      </c>
      <c r="V9" s="19"/>
      <c r="W9">
        <v>0</v>
      </c>
      <c r="X9">
        <v>0</v>
      </c>
      <c r="Y9">
        <v>0</v>
      </c>
    </row>
    <row r="10" spans="1:29">
      <c r="A10" s="4" t="s">
        <v>75</v>
      </c>
      <c r="B10" s="5">
        <f t="shared" si="0"/>
        <v>2962.71</v>
      </c>
      <c r="C10" s="8">
        <v>2790.2</v>
      </c>
      <c r="D10" s="8">
        <v>40.700000000000003</v>
      </c>
      <c r="E10" s="4">
        <v>40.700000000000003</v>
      </c>
      <c r="F10" s="10" t="s">
        <v>122</v>
      </c>
      <c r="G10" s="10" t="s">
        <v>123</v>
      </c>
      <c r="H10" s="4">
        <v>18.45</v>
      </c>
      <c r="I10" s="4">
        <v>11.57</v>
      </c>
      <c r="J10" s="4">
        <v>12.55</v>
      </c>
      <c r="K10" s="4">
        <v>17.329999999999998</v>
      </c>
      <c r="L10" s="4">
        <v>4.41</v>
      </c>
      <c r="M10">
        <v>13.26</v>
      </c>
      <c r="N10">
        <v>8.1999999999999993</v>
      </c>
      <c r="O10" s="19"/>
      <c r="P10" s="19"/>
      <c r="Q10" s="19"/>
      <c r="R10" s="19"/>
      <c r="S10">
        <v>38.409999999999997</v>
      </c>
      <c r="T10" s="19"/>
      <c r="U10">
        <v>3.11</v>
      </c>
      <c r="V10" s="19"/>
      <c r="W10">
        <v>12.32</v>
      </c>
      <c r="X10">
        <v>15.43</v>
      </c>
      <c r="Y10">
        <v>17.47</v>
      </c>
    </row>
    <row r="11" spans="1:29">
      <c r="A11" s="4" t="s">
        <v>78</v>
      </c>
      <c r="B11" s="4">
        <f t="shared" si="0"/>
        <v>193</v>
      </c>
      <c r="C11" s="4">
        <v>184</v>
      </c>
      <c r="D11" s="4">
        <f>SUM(F11:AI11)</f>
        <v>9</v>
      </c>
      <c r="E11" s="4">
        <f>SUM(F11:AI11)</f>
        <v>9</v>
      </c>
      <c r="F11" s="4">
        <v>0</v>
      </c>
      <c r="G11" s="4">
        <v>2</v>
      </c>
      <c r="H11" s="4">
        <v>0</v>
      </c>
      <c r="I11" s="4">
        <v>0</v>
      </c>
      <c r="J11" s="4">
        <v>1</v>
      </c>
      <c r="K11" s="4">
        <v>0</v>
      </c>
      <c r="L11" s="4">
        <v>0</v>
      </c>
      <c r="M11">
        <v>1</v>
      </c>
      <c r="N11">
        <v>0</v>
      </c>
      <c r="O11" s="19"/>
      <c r="P11" s="19"/>
      <c r="Q11" s="19"/>
      <c r="R11" s="19"/>
      <c r="S11">
        <v>1</v>
      </c>
      <c r="T11" s="19"/>
      <c r="U11">
        <v>0</v>
      </c>
      <c r="V11" s="19"/>
      <c r="W11">
        <v>1</v>
      </c>
      <c r="X11">
        <v>0</v>
      </c>
      <c r="Y11">
        <v>3</v>
      </c>
    </row>
    <row r="12" spans="1:29">
      <c r="A12" s="4" t="s">
        <v>79</v>
      </c>
      <c r="B12" s="4">
        <f t="shared" si="0"/>
        <v>114</v>
      </c>
      <c r="C12" s="4">
        <v>100</v>
      </c>
      <c r="D12" s="4">
        <f>SUM(F12:AI12)</f>
        <v>14</v>
      </c>
      <c r="E12" s="4">
        <f>SUM(F12:AI12)</f>
        <v>14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>
        <v>1</v>
      </c>
      <c r="N12">
        <v>1</v>
      </c>
      <c r="O12" s="19"/>
      <c r="P12" s="19"/>
      <c r="Q12" s="19"/>
      <c r="R12" s="19"/>
      <c r="S12">
        <v>1</v>
      </c>
      <c r="T12" s="19"/>
      <c r="U12">
        <v>1</v>
      </c>
      <c r="V12" s="19"/>
      <c r="W12">
        <v>1</v>
      </c>
      <c r="X12">
        <v>1</v>
      </c>
      <c r="Y12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61DA3-289B-4683-8FB9-1657263CC3A3}">
  <dimension ref="A1:BB26"/>
  <sheetViews>
    <sheetView topLeftCell="A6" zoomScale="120" zoomScaleNormal="120" workbookViewId="0">
      <selection activeCell="E16" sqref="E16"/>
    </sheetView>
  </sheetViews>
  <sheetFormatPr defaultRowHeight="14.45"/>
  <cols>
    <col min="1" max="1" width="21.28515625" style="4" customWidth="1"/>
    <col min="2" max="3" width="12.7109375" style="4" customWidth="1"/>
    <col min="4" max="4" width="8.7109375" style="4"/>
  </cols>
  <sheetData>
    <row r="1" spans="1:54">
      <c r="A1" s="3" t="s">
        <v>124</v>
      </c>
      <c r="B1" s="3" t="s">
        <v>71</v>
      </c>
      <c r="C1" s="3" t="s">
        <v>81</v>
      </c>
      <c r="D1" s="3" t="s">
        <v>11</v>
      </c>
      <c r="E1" s="7">
        <v>45968</v>
      </c>
      <c r="F1" s="7">
        <v>45970</v>
      </c>
      <c r="G1" s="7">
        <v>45975</v>
      </c>
      <c r="H1" s="7">
        <v>45976</v>
      </c>
      <c r="I1" s="6">
        <v>45983</v>
      </c>
      <c r="J1" s="6">
        <v>45985</v>
      </c>
      <c r="K1" s="6">
        <v>45987</v>
      </c>
      <c r="L1" s="6">
        <v>45990</v>
      </c>
      <c r="M1" s="6">
        <v>45992</v>
      </c>
      <c r="N1" s="6">
        <v>45996</v>
      </c>
      <c r="O1" s="6">
        <v>45997</v>
      </c>
      <c r="P1" s="6">
        <v>46000</v>
      </c>
      <c r="Q1" s="6">
        <v>46001</v>
      </c>
      <c r="R1" s="6">
        <v>46003</v>
      </c>
      <c r="S1" s="6">
        <v>46011</v>
      </c>
      <c r="T1" s="6">
        <v>46013</v>
      </c>
      <c r="U1" s="6">
        <v>46019</v>
      </c>
      <c r="V1" s="6">
        <v>45659</v>
      </c>
      <c r="W1" s="6">
        <v>45661</v>
      </c>
      <c r="X1" s="6">
        <v>45663</v>
      </c>
      <c r="Y1" s="6">
        <v>45665</v>
      </c>
      <c r="Z1" s="6">
        <v>45666</v>
      </c>
      <c r="AA1" s="6">
        <v>45669</v>
      </c>
      <c r="AB1" s="6">
        <v>45671</v>
      </c>
      <c r="AC1" s="6">
        <v>46040</v>
      </c>
      <c r="AD1" s="6">
        <v>46041</v>
      </c>
      <c r="AE1" s="6">
        <v>46043</v>
      </c>
      <c r="AF1" s="6">
        <v>46045</v>
      </c>
      <c r="AG1" s="6">
        <v>46048</v>
      </c>
      <c r="AH1" s="6">
        <v>46050</v>
      </c>
      <c r="AI1" s="6">
        <v>46055</v>
      </c>
      <c r="AJ1" s="6">
        <v>46058</v>
      </c>
      <c r="AK1" s="6">
        <v>46059</v>
      </c>
      <c r="AL1" s="6">
        <v>46061</v>
      </c>
      <c r="AM1" s="6">
        <v>46063</v>
      </c>
      <c r="AN1" s="6">
        <v>46065</v>
      </c>
      <c r="AO1" s="6">
        <v>46072</v>
      </c>
      <c r="AP1" s="6">
        <v>46073</v>
      </c>
      <c r="AQ1" s="6">
        <v>46078</v>
      </c>
      <c r="AR1" s="6">
        <v>46079</v>
      </c>
      <c r="AS1" s="6">
        <v>46082</v>
      </c>
      <c r="AT1" s="6">
        <v>46085</v>
      </c>
      <c r="AU1" s="6">
        <v>46087</v>
      </c>
      <c r="AV1" s="6"/>
      <c r="AW1" s="6"/>
      <c r="AX1" s="6"/>
      <c r="AY1" s="6"/>
      <c r="AZ1" s="6"/>
      <c r="BA1" s="6"/>
      <c r="BB1" s="6"/>
    </row>
    <row r="2" spans="1:54">
      <c r="A2" s="4" t="s">
        <v>35</v>
      </c>
      <c r="B2" s="5">
        <f>C2+SUM(E2:BB2)</f>
        <v>1561</v>
      </c>
      <c r="C2" s="5">
        <v>998</v>
      </c>
      <c r="D2" s="4">
        <f>SUM(E2:BB2)</f>
        <v>563</v>
      </c>
      <c r="E2" s="19"/>
      <c r="F2" s="19"/>
      <c r="G2" s="19"/>
      <c r="H2">
        <v>6</v>
      </c>
      <c r="I2">
        <v>7</v>
      </c>
      <c r="J2">
        <v>3</v>
      </c>
      <c r="K2">
        <v>24</v>
      </c>
      <c r="L2">
        <v>17</v>
      </c>
      <c r="M2">
        <v>9</v>
      </c>
      <c r="N2">
        <v>8</v>
      </c>
      <c r="O2">
        <v>6</v>
      </c>
      <c r="P2">
        <v>2</v>
      </c>
      <c r="Q2" s="19"/>
      <c r="R2">
        <v>20</v>
      </c>
      <c r="S2">
        <v>5</v>
      </c>
      <c r="T2">
        <v>3</v>
      </c>
      <c r="U2">
        <v>6</v>
      </c>
      <c r="V2">
        <v>15</v>
      </c>
      <c r="W2">
        <v>8</v>
      </c>
      <c r="X2">
        <v>17</v>
      </c>
      <c r="Y2">
        <v>19</v>
      </c>
      <c r="Z2">
        <v>36</v>
      </c>
      <c r="AA2">
        <v>14</v>
      </c>
      <c r="AB2">
        <v>16</v>
      </c>
      <c r="AC2">
        <v>15</v>
      </c>
      <c r="AD2">
        <v>7</v>
      </c>
      <c r="AE2">
        <v>13</v>
      </c>
      <c r="AF2">
        <v>14</v>
      </c>
      <c r="AG2">
        <v>23</v>
      </c>
      <c r="AH2">
        <v>6</v>
      </c>
      <c r="AI2">
        <v>25</v>
      </c>
      <c r="AJ2">
        <v>17</v>
      </c>
      <c r="AK2">
        <v>17</v>
      </c>
      <c r="AL2">
        <v>18</v>
      </c>
      <c r="AM2">
        <v>18</v>
      </c>
      <c r="AN2">
        <v>19</v>
      </c>
      <c r="AO2">
        <v>17</v>
      </c>
      <c r="AP2">
        <v>17</v>
      </c>
      <c r="AQ2">
        <v>10</v>
      </c>
      <c r="AR2">
        <v>18</v>
      </c>
      <c r="AS2">
        <v>22</v>
      </c>
      <c r="AT2">
        <v>30</v>
      </c>
      <c r="AU2">
        <v>16</v>
      </c>
    </row>
    <row r="3" spans="1:54">
      <c r="A3" s="4" t="s">
        <v>25</v>
      </c>
      <c r="B3" s="4">
        <f>C3+SUM(E3:BB3)</f>
        <v>588</v>
      </c>
      <c r="C3" s="4">
        <v>407</v>
      </c>
      <c r="D3" s="4">
        <f>SUM(E3:BB3)</f>
        <v>181</v>
      </c>
      <c r="E3" s="19"/>
      <c r="F3" s="19"/>
      <c r="G3" s="19"/>
      <c r="H3">
        <v>2</v>
      </c>
      <c r="I3">
        <v>2</v>
      </c>
      <c r="J3">
        <v>3</v>
      </c>
      <c r="K3">
        <v>4</v>
      </c>
      <c r="L3">
        <v>4</v>
      </c>
      <c r="M3">
        <v>7</v>
      </c>
      <c r="N3">
        <v>1</v>
      </c>
      <c r="O3">
        <v>3</v>
      </c>
      <c r="P3">
        <v>1</v>
      </c>
      <c r="Q3" s="19"/>
      <c r="R3">
        <v>4</v>
      </c>
      <c r="S3">
        <v>5</v>
      </c>
      <c r="T3">
        <v>0</v>
      </c>
      <c r="U3">
        <v>6</v>
      </c>
      <c r="V3">
        <v>3</v>
      </c>
      <c r="W3">
        <v>1</v>
      </c>
      <c r="X3">
        <v>4</v>
      </c>
      <c r="Y3">
        <v>2</v>
      </c>
      <c r="Z3">
        <v>6</v>
      </c>
      <c r="AA3">
        <v>6</v>
      </c>
      <c r="AB3">
        <v>6</v>
      </c>
      <c r="AC3">
        <v>5</v>
      </c>
      <c r="AD3">
        <v>4</v>
      </c>
      <c r="AE3">
        <v>3</v>
      </c>
      <c r="AF3">
        <v>10</v>
      </c>
      <c r="AG3">
        <v>1</v>
      </c>
      <c r="AH3">
        <v>4</v>
      </c>
      <c r="AI3">
        <v>7</v>
      </c>
      <c r="AJ3">
        <v>9</v>
      </c>
      <c r="AK3">
        <v>9</v>
      </c>
      <c r="AL3">
        <v>7</v>
      </c>
      <c r="AM3">
        <v>6</v>
      </c>
      <c r="AN3">
        <v>8</v>
      </c>
      <c r="AO3">
        <v>4</v>
      </c>
      <c r="AP3">
        <v>5</v>
      </c>
      <c r="AQ3">
        <v>9</v>
      </c>
      <c r="AR3">
        <v>7</v>
      </c>
      <c r="AS3">
        <v>3</v>
      </c>
      <c r="AT3">
        <v>6</v>
      </c>
      <c r="AU3">
        <v>4</v>
      </c>
    </row>
    <row r="4" spans="1:54">
      <c r="A4" s="4" t="s">
        <v>27</v>
      </c>
      <c r="B4" s="4">
        <f>C4+SUM(E4:BB4)</f>
        <v>487</v>
      </c>
      <c r="C4" s="4">
        <v>266</v>
      </c>
      <c r="D4" s="4">
        <f>SUM(E4:BB4)</f>
        <v>221</v>
      </c>
      <c r="E4" s="19"/>
      <c r="F4" s="19"/>
      <c r="G4" s="19"/>
      <c r="H4">
        <v>3</v>
      </c>
      <c r="I4">
        <v>2</v>
      </c>
      <c r="J4">
        <v>2</v>
      </c>
      <c r="K4">
        <v>3</v>
      </c>
      <c r="L4">
        <v>4</v>
      </c>
      <c r="M4">
        <v>0</v>
      </c>
      <c r="N4">
        <v>2</v>
      </c>
      <c r="O4">
        <v>1</v>
      </c>
      <c r="P4">
        <v>0</v>
      </c>
      <c r="Q4" s="19"/>
      <c r="R4">
        <v>1</v>
      </c>
      <c r="S4">
        <v>6</v>
      </c>
      <c r="T4">
        <v>5</v>
      </c>
      <c r="U4">
        <v>3</v>
      </c>
      <c r="V4">
        <v>5</v>
      </c>
      <c r="W4">
        <v>5</v>
      </c>
      <c r="X4">
        <v>8</v>
      </c>
      <c r="Y4">
        <v>9</v>
      </c>
      <c r="Z4">
        <v>9</v>
      </c>
      <c r="AA4">
        <v>6</v>
      </c>
      <c r="AB4">
        <v>8</v>
      </c>
      <c r="AC4">
        <v>5</v>
      </c>
      <c r="AD4">
        <v>2</v>
      </c>
      <c r="AE4">
        <v>1</v>
      </c>
      <c r="AF4">
        <v>9</v>
      </c>
      <c r="AG4">
        <v>4</v>
      </c>
      <c r="AH4">
        <v>9</v>
      </c>
      <c r="AI4">
        <v>8</v>
      </c>
      <c r="AJ4">
        <v>15</v>
      </c>
      <c r="AK4">
        <v>8</v>
      </c>
      <c r="AL4">
        <v>10</v>
      </c>
      <c r="AM4">
        <v>11</v>
      </c>
      <c r="AN4">
        <v>7</v>
      </c>
      <c r="AO4">
        <v>5</v>
      </c>
      <c r="AP4">
        <v>6</v>
      </c>
      <c r="AQ4">
        <v>9</v>
      </c>
      <c r="AR4">
        <v>13</v>
      </c>
      <c r="AS4">
        <v>4</v>
      </c>
      <c r="AT4">
        <v>6</v>
      </c>
      <c r="AU4">
        <v>7</v>
      </c>
    </row>
    <row r="5" spans="1:54">
      <c r="A5" s="4" t="s">
        <v>12</v>
      </c>
      <c r="B5" s="4">
        <f>C5+SUM(E5:BB5)</f>
        <v>130</v>
      </c>
      <c r="C5" s="4">
        <v>75</v>
      </c>
      <c r="D5" s="4">
        <f>SUM(E5:BB5)</f>
        <v>55</v>
      </c>
      <c r="E5" s="19"/>
      <c r="F5" s="19"/>
      <c r="G5" s="19"/>
      <c r="H5">
        <v>0</v>
      </c>
      <c r="I5">
        <v>3</v>
      </c>
      <c r="J5">
        <v>0</v>
      </c>
      <c r="K5">
        <v>1</v>
      </c>
      <c r="L5">
        <v>2</v>
      </c>
      <c r="M5">
        <v>0</v>
      </c>
      <c r="N5">
        <v>1</v>
      </c>
      <c r="O5">
        <v>0</v>
      </c>
      <c r="P5">
        <v>0</v>
      </c>
      <c r="Q5" s="19"/>
      <c r="R5">
        <v>1</v>
      </c>
      <c r="S5">
        <v>0</v>
      </c>
      <c r="T5">
        <v>2</v>
      </c>
      <c r="U5">
        <v>1</v>
      </c>
      <c r="V5">
        <v>5</v>
      </c>
      <c r="W5">
        <v>3</v>
      </c>
      <c r="X5">
        <v>1</v>
      </c>
      <c r="Y5">
        <v>3</v>
      </c>
      <c r="Z5">
        <v>1</v>
      </c>
      <c r="AA5">
        <v>0</v>
      </c>
      <c r="AB5">
        <v>5</v>
      </c>
      <c r="AC5">
        <v>1</v>
      </c>
      <c r="AD5">
        <v>0</v>
      </c>
      <c r="AE5">
        <v>3</v>
      </c>
      <c r="AF5">
        <v>2</v>
      </c>
      <c r="AG5">
        <v>2</v>
      </c>
      <c r="AH5">
        <v>0</v>
      </c>
      <c r="AI5">
        <v>0</v>
      </c>
      <c r="AJ5">
        <v>3</v>
      </c>
      <c r="AK5">
        <v>1</v>
      </c>
      <c r="AL5">
        <v>3</v>
      </c>
      <c r="AM5">
        <v>0</v>
      </c>
      <c r="AN5">
        <v>1</v>
      </c>
      <c r="AO5">
        <v>0</v>
      </c>
      <c r="AP5">
        <v>2</v>
      </c>
      <c r="AQ5">
        <v>2</v>
      </c>
      <c r="AR5">
        <v>2</v>
      </c>
      <c r="AS5">
        <v>1</v>
      </c>
      <c r="AT5">
        <v>2</v>
      </c>
      <c r="AU5">
        <v>1</v>
      </c>
    </row>
    <row r="6" spans="1:54">
      <c r="A6" s="4" t="s">
        <v>21</v>
      </c>
      <c r="B6" s="4">
        <f>C6+SUM(E6:BB6)</f>
        <v>25</v>
      </c>
      <c r="C6" s="4">
        <v>22</v>
      </c>
      <c r="D6" s="4">
        <f>SUM(E6:BB6)</f>
        <v>3</v>
      </c>
      <c r="E6" s="19"/>
      <c r="F6" s="19"/>
      <c r="G6" s="19"/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s="19"/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1</v>
      </c>
      <c r="AK6">
        <v>0</v>
      </c>
      <c r="AL6">
        <v>1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54">
      <c r="A7" s="4" t="s">
        <v>73</v>
      </c>
      <c r="B7" s="4">
        <f>C7+SUM(E7:BB7)</f>
        <v>609</v>
      </c>
      <c r="C7" s="4">
        <v>393</v>
      </c>
      <c r="D7" s="4">
        <f>SUM(E7:BB7)</f>
        <v>216</v>
      </c>
      <c r="E7" s="19"/>
      <c r="F7" s="19"/>
      <c r="G7" s="19"/>
      <c r="H7">
        <v>3</v>
      </c>
      <c r="I7">
        <v>3</v>
      </c>
      <c r="J7">
        <v>1</v>
      </c>
      <c r="K7">
        <v>10</v>
      </c>
      <c r="L7">
        <v>8</v>
      </c>
      <c r="M7">
        <v>2</v>
      </c>
      <c r="N7">
        <v>3</v>
      </c>
      <c r="O7">
        <v>2</v>
      </c>
      <c r="P7">
        <v>1</v>
      </c>
      <c r="Q7" s="19"/>
      <c r="R7">
        <v>7</v>
      </c>
      <c r="S7">
        <v>2</v>
      </c>
      <c r="T7">
        <v>1</v>
      </c>
      <c r="U7">
        <v>3</v>
      </c>
      <c r="V7">
        <v>4</v>
      </c>
      <c r="W7">
        <v>4</v>
      </c>
      <c r="X7">
        <v>7</v>
      </c>
      <c r="Y7">
        <v>7</v>
      </c>
      <c r="Z7">
        <v>14</v>
      </c>
      <c r="AA7">
        <v>4</v>
      </c>
      <c r="AB7">
        <v>6</v>
      </c>
      <c r="AC7">
        <v>6</v>
      </c>
      <c r="AD7">
        <v>3</v>
      </c>
      <c r="AE7">
        <v>5</v>
      </c>
      <c r="AF7">
        <v>6</v>
      </c>
      <c r="AG7">
        <v>8</v>
      </c>
      <c r="AH7">
        <v>1</v>
      </c>
      <c r="AI7">
        <v>12</v>
      </c>
      <c r="AJ7">
        <v>6</v>
      </c>
      <c r="AK7">
        <v>7</v>
      </c>
      <c r="AL7">
        <v>7</v>
      </c>
      <c r="AM7">
        <v>8</v>
      </c>
      <c r="AN7">
        <v>8</v>
      </c>
      <c r="AO7">
        <v>7</v>
      </c>
      <c r="AP7">
        <v>7</v>
      </c>
      <c r="AQ7">
        <v>5</v>
      </c>
      <c r="AR7">
        <v>6</v>
      </c>
      <c r="AS7">
        <v>7</v>
      </c>
      <c r="AT7">
        <v>9</v>
      </c>
      <c r="AU7">
        <v>6</v>
      </c>
    </row>
    <row r="8" spans="1:54">
      <c r="A8" s="4" t="s">
        <v>38</v>
      </c>
      <c r="B8" s="4">
        <f>C8+SUM(E8:BB8)</f>
        <v>161</v>
      </c>
      <c r="C8" s="4">
        <v>112</v>
      </c>
      <c r="D8" s="4">
        <f>SUM(E8:BB8)</f>
        <v>49</v>
      </c>
      <c r="E8" s="19"/>
      <c r="F8" s="19"/>
      <c r="G8" s="19"/>
      <c r="H8">
        <v>0</v>
      </c>
      <c r="I8">
        <v>1</v>
      </c>
      <c r="J8">
        <v>1</v>
      </c>
      <c r="K8">
        <v>4</v>
      </c>
      <c r="L8">
        <v>1</v>
      </c>
      <c r="M8">
        <v>1</v>
      </c>
      <c r="N8">
        <v>0</v>
      </c>
      <c r="O8">
        <v>1</v>
      </c>
      <c r="P8">
        <v>0</v>
      </c>
      <c r="Q8" s="19"/>
      <c r="R8">
        <v>3</v>
      </c>
      <c r="S8">
        <v>1</v>
      </c>
      <c r="T8">
        <v>1</v>
      </c>
      <c r="U8">
        <v>0</v>
      </c>
      <c r="V8">
        <v>2</v>
      </c>
      <c r="W8">
        <v>0</v>
      </c>
      <c r="X8">
        <v>3</v>
      </c>
      <c r="Y8">
        <v>0</v>
      </c>
      <c r="Z8">
        <v>1</v>
      </c>
      <c r="AA8">
        <v>0</v>
      </c>
      <c r="AB8">
        <v>0</v>
      </c>
      <c r="AC8">
        <v>1</v>
      </c>
      <c r="AD8">
        <v>1</v>
      </c>
      <c r="AE8">
        <v>1</v>
      </c>
      <c r="AF8">
        <v>2</v>
      </c>
      <c r="AG8">
        <v>4</v>
      </c>
      <c r="AH8">
        <v>0</v>
      </c>
      <c r="AI8">
        <v>1</v>
      </c>
      <c r="AJ8">
        <v>3</v>
      </c>
      <c r="AK8">
        <v>1</v>
      </c>
      <c r="AL8">
        <v>2</v>
      </c>
      <c r="AM8">
        <v>2</v>
      </c>
      <c r="AN8">
        <v>1</v>
      </c>
      <c r="AO8">
        <v>1</v>
      </c>
      <c r="AP8">
        <v>2</v>
      </c>
      <c r="AQ8">
        <v>0</v>
      </c>
      <c r="AR8">
        <v>0</v>
      </c>
      <c r="AS8">
        <v>2</v>
      </c>
      <c r="AT8">
        <v>3</v>
      </c>
      <c r="AU8">
        <v>2</v>
      </c>
    </row>
    <row r="9" spans="1:54">
      <c r="A9" s="4" t="s">
        <v>74</v>
      </c>
      <c r="B9" s="4">
        <f>C9+SUM(E9:BB9)</f>
        <v>11</v>
      </c>
      <c r="C9" s="4">
        <v>6</v>
      </c>
      <c r="D9" s="4">
        <f>SUM(E9:BB9)</f>
        <v>5</v>
      </c>
      <c r="E9" s="19"/>
      <c r="F9" s="19"/>
      <c r="G9" s="19"/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 s="19"/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  <c r="AI9">
        <v>0</v>
      </c>
      <c r="AJ9">
        <v>1</v>
      </c>
      <c r="AK9">
        <v>0</v>
      </c>
      <c r="AL9">
        <v>1</v>
      </c>
      <c r="AM9">
        <v>1</v>
      </c>
      <c r="AN9">
        <v>0</v>
      </c>
      <c r="AO9">
        <v>0</v>
      </c>
      <c r="AP9">
        <v>0</v>
      </c>
      <c r="AQ9">
        <v>0</v>
      </c>
      <c r="AR9">
        <v>1</v>
      </c>
      <c r="AS9">
        <v>0</v>
      </c>
      <c r="AT9">
        <v>0</v>
      </c>
      <c r="AU9">
        <v>0</v>
      </c>
    </row>
    <row r="10" spans="1:54">
      <c r="A10" s="4" t="s">
        <v>75</v>
      </c>
      <c r="B10" s="5">
        <f>C10+SUM(E10:BB10)</f>
        <v>3359.8599999999997</v>
      </c>
      <c r="C10" s="8">
        <v>2247.6</v>
      </c>
      <c r="D10" s="5">
        <f>SUM(E10:BB10)</f>
        <v>1112.26</v>
      </c>
      <c r="E10" s="19"/>
      <c r="F10" s="19"/>
      <c r="G10" s="19"/>
      <c r="H10">
        <v>26.14</v>
      </c>
      <c r="I10">
        <v>27</v>
      </c>
      <c r="J10">
        <v>17.09</v>
      </c>
      <c r="K10">
        <v>28.27</v>
      </c>
      <c r="L10">
        <v>32.11</v>
      </c>
      <c r="M10">
        <v>20.54</v>
      </c>
      <c r="N10">
        <v>18.36</v>
      </c>
      <c r="O10">
        <v>14.04</v>
      </c>
      <c r="P10">
        <v>9.01</v>
      </c>
      <c r="Q10" s="19"/>
      <c r="R10">
        <v>31.56</v>
      </c>
      <c r="S10">
        <v>19.149999999999999</v>
      </c>
      <c r="T10">
        <v>15.44</v>
      </c>
      <c r="U10">
        <v>23.45</v>
      </c>
      <c r="V10">
        <v>27.57</v>
      </c>
      <c r="W10">
        <v>23.04</v>
      </c>
      <c r="X10">
        <v>30.36</v>
      </c>
      <c r="Y10">
        <v>39.020000000000003</v>
      </c>
      <c r="Z10">
        <v>33.42</v>
      </c>
      <c r="AA10">
        <v>38.53</v>
      </c>
      <c r="AB10">
        <v>40.5</v>
      </c>
      <c r="AC10">
        <v>23.57</v>
      </c>
      <c r="AD10">
        <v>19.45</v>
      </c>
      <c r="AE10">
        <v>26.1</v>
      </c>
      <c r="AF10">
        <v>30.46</v>
      </c>
      <c r="AG10">
        <v>34.49</v>
      </c>
      <c r="AH10">
        <v>29.28</v>
      </c>
      <c r="AI10">
        <v>38.06</v>
      </c>
      <c r="AJ10">
        <v>37.56</v>
      </c>
      <c r="AK10">
        <v>35.15</v>
      </c>
      <c r="AL10">
        <v>31.36</v>
      </c>
      <c r="AM10">
        <v>36.28</v>
      </c>
      <c r="AN10">
        <v>31.06</v>
      </c>
      <c r="AO10">
        <v>27.02</v>
      </c>
      <c r="AP10">
        <v>30.17</v>
      </c>
      <c r="AQ10">
        <v>28.14</v>
      </c>
      <c r="AR10">
        <v>38.450000000000003</v>
      </c>
      <c r="AS10">
        <v>30.11</v>
      </c>
      <c r="AT10">
        <v>36.49</v>
      </c>
      <c r="AU10">
        <v>34.46</v>
      </c>
    </row>
    <row r="11" spans="1:54">
      <c r="A11" s="4" t="s">
        <v>78</v>
      </c>
      <c r="B11" s="4">
        <f>C11+SUM(E11:BB11)</f>
        <v>124</v>
      </c>
      <c r="C11" s="4">
        <v>74</v>
      </c>
      <c r="D11" s="4">
        <f>SUM(E11:BB11)</f>
        <v>50</v>
      </c>
      <c r="E11" s="19"/>
      <c r="F11" s="19"/>
      <c r="G11" s="19"/>
      <c r="H11">
        <v>0</v>
      </c>
      <c r="I11">
        <v>0</v>
      </c>
      <c r="J11">
        <v>0</v>
      </c>
      <c r="K11">
        <v>0</v>
      </c>
      <c r="L11">
        <v>0</v>
      </c>
      <c r="M11">
        <v>2</v>
      </c>
      <c r="N11">
        <v>1</v>
      </c>
      <c r="O11">
        <v>1</v>
      </c>
      <c r="P11">
        <v>0</v>
      </c>
      <c r="Q11" s="19"/>
      <c r="R11">
        <v>2</v>
      </c>
      <c r="S11">
        <v>0</v>
      </c>
      <c r="T11">
        <v>0</v>
      </c>
      <c r="U11">
        <v>0</v>
      </c>
      <c r="V11">
        <v>3</v>
      </c>
      <c r="W11">
        <v>0</v>
      </c>
      <c r="X11">
        <v>0</v>
      </c>
      <c r="Y11">
        <v>3</v>
      </c>
      <c r="Z11">
        <v>6</v>
      </c>
      <c r="AA11">
        <v>3</v>
      </c>
      <c r="AB11">
        <v>3</v>
      </c>
      <c r="AC11">
        <v>1</v>
      </c>
      <c r="AD11">
        <v>0</v>
      </c>
      <c r="AE11">
        <v>1</v>
      </c>
      <c r="AF11">
        <v>0</v>
      </c>
      <c r="AG11">
        <v>2</v>
      </c>
      <c r="AH11">
        <v>2</v>
      </c>
      <c r="AI11">
        <v>0</v>
      </c>
      <c r="AJ11">
        <v>1</v>
      </c>
      <c r="AK11">
        <v>1</v>
      </c>
      <c r="AL11">
        <v>1</v>
      </c>
      <c r="AM11">
        <v>0</v>
      </c>
      <c r="AN11">
        <v>1</v>
      </c>
      <c r="AO11">
        <v>1</v>
      </c>
      <c r="AP11">
        <v>1</v>
      </c>
      <c r="AQ11">
        <v>0</v>
      </c>
      <c r="AR11">
        <v>3</v>
      </c>
      <c r="AS11">
        <v>4</v>
      </c>
      <c r="AT11">
        <v>6</v>
      </c>
      <c r="AU11">
        <v>1</v>
      </c>
    </row>
    <row r="12" spans="1:54">
      <c r="A12" s="4" t="s">
        <v>79</v>
      </c>
      <c r="B12" s="4">
        <f>C12+SUM(E12:BB12)</f>
        <v>127</v>
      </c>
      <c r="C12" s="4">
        <v>88</v>
      </c>
      <c r="D12" s="4">
        <f>SUM(E12:BB12)</f>
        <v>39</v>
      </c>
      <c r="E12" s="19"/>
      <c r="F12" s="19"/>
      <c r="G12" s="19"/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 s="19"/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</row>
    <row r="15" spans="1:54" ht="15">
      <c r="A15" s="3" t="s">
        <v>68</v>
      </c>
      <c r="B15" s="3" t="s">
        <v>71</v>
      </c>
      <c r="C15" s="3" t="s">
        <v>72</v>
      </c>
      <c r="D15" s="7">
        <v>46113</v>
      </c>
    </row>
    <row r="16" spans="1:54" ht="15">
      <c r="A16" s="4" t="s">
        <v>35</v>
      </c>
      <c r="B16" s="12">
        <f>SUM(D16:BA16)</f>
        <v>29</v>
      </c>
      <c r="C16" s="4">
        <v>29</v>
      </c>
      <c r="D16" s="4">
        <v>29</v>
      </c>
    </row>
    <row r="17" spans="1:4" ht="15">
      <c r="A17" s="4" t="s">
        <v>25</v>
      </c>
      <c r="B17" s="12">
        <f t="shared" ref="B17:B26" si="0">SUM(D17:BA17)</f>
        <v>6</v>
      </c>
      <c r="C17" s="4">
        <v>6</v>
      </c>
      <c r="D17" s="4">
        <v>6</v>
      </c>
    </row>
    <row r="18" spans="1:4" ht="15">
      <c r="A18" s="4" t="s">
        <v>27</v>
      </c>
      <c r="B18" s="12">
        <f t="shared" si="0"/>
        <v>4</v>
      </c>
      <c r="C18" s="4">
        <v>4</v>
      </c>
      <c r="D18" s="4">
        <v>4</v>
      </c>
    </row>
    <row r="19" spans="1:4" ht="15">
      <c r="A19" s="4" t="s">
        <v>12</v>
      </c>
      <c r="B19" s="12">
        <f t="shared" si="0"/>
        <v>2</v>
      </c>
      <c r="C19" s="4">
        <v>2</v>
      </c>
      <c r="D19" s="4">
        <v>2</v>
      </c>
    </row>
    <row r="20" spans="1:4" ht="15">
      <c r="A20" s="4" t="s">
        <v>21</v>
      </c>
      <c r="B20" s="12">
        <f t="shared" si="0"/>
        <v>0</v>
      </c>
      <c r="C20" s="4">
        <v>0</v>
      </c>
      <c r="D20" s="4">
        <v>0</v>
      </c>
    </row>
    <row r="21" spans="1:4" ht="15">
      <c r="A21" s="4" t="s">
        <v>73</v>
      </c>
      <c r="B21" s="12">
        <f t="shared" si="0"/>
        <v>10</v>
      </c>
      <c r="C21" s="4">
        <v>10</v>
      </c>
      <c r="D21" s="4">
        <v>10</v>
      </c>
    </row>
    <row r="22" spans="1:4" ht="15">
      <c r="A22" s="4" t="s">
        <v>38</v>
      </c>
      <c r="B22" s="12">
        <f t="shared" si="0"/>
        <v>3</v>
      </c>
      <c r="C22" s="4">
        <v>3</v>
      </c>
      <c r="D22" s="4">
        <v>3</v>
      </c>
    </row>
    <row r="23" spans="1:4" ht="15">
      <c r="A23" s="4" t="s">
        <v>74</v>
      </c>
      <c r="B23" s="12">
        <f t="shared" si="0"/>
        <v>0</v>
      </c>
      <c r="C23" s="4">
        <v>0</v>
      </c>
      <c r="D23" s="4">
        <v>0</v>
      </c>
    </row>
    <row r="24" spans="1:4" ht="15">
      <c r="A24" s="4" t="s">
        <v>75</v>
      </c>
      <c r="B24" s="12">
        <f t="shared" si="0"/>
        <v>38.42</v>
      </c>
      <c r="C24" s="4">
        <v>38.42</v>
      </c>
      <c r="D24" s="4">
        <v>38.42</v>
      </c>
    </row>
    <row r="25" spans="1:4" ht="15">
      <c r="A25" s="4" t="s">
        <v>78</v>
      </c>
      <c r="B25" s="12">
        <f t="shared" si="0"/>
        <v>3</v>
      </c>
      <c r="C25" s="4">
        <v>3</v>
      </c>
      <c r="D25" s="4">
        <v>3</v>
      </c>
    </row>
    <row r="26" spans="1:4" ht="15">
      <c r="A26" s="4" t="s">
        <v>79</v>
      </c>
      <c r="B26" s="12">
        <f t="shared" si="0"/>
        <v>1</v>
      </c>
      <c r="C26" s="4">
        <v>1</v>
      </c>
      <c r="D26" s="4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8FDAD-6B5C-4BAA-AE9C-98DEED936E65}">
  <dimension ref="A1:R15"/>
  <sheetViews>
    <sheetView workbookViewId="0">
      <selection activeCell="C26" sqref="C26"/>
    </sheetView>
  </sheetViews>
  <sheetFormatPr defaultRowHeight="14.45"/>
  <cols>
    <col min="1" max="1" width="21.28515625" style="4" customWidth="1"/>
    <col min="2" max="2" width="12.7109375" style="4" customWidth="1"/>
    <col min="3" max="6" width="8.7109375" style="4"/>
    <col min="7" max="8" width="9.140625" style="4"/>
  </cols>
  <sheetData>
    <row r="1" spans="1:18">
      <c r="A1" s="3" t="s">
        <v>125</v>
      </c>
      <c r="B1" s="3" t="s">
        <v>71</v>
      </c>
      <c r="C1" s="3" t="s">
        <v>11</v>
      </c>
      <c r="D1" s="3" t="s">
        <v>72</v>
      </c>
      <c r="E1" s="7">
        <v>45968</v>
      </c>
      <c r="F1" s="7">
        <v>45970</v>
      </c>
      <c r="G1" s="7">
        <v>45975</v>
      </c>
      <c r="H1" s="7">
        <v>45976</v>
      </c>
      <c r="I1" s="6">
        <v>45983</v>
      </c>
      <c r="J1" s="6">
        <v>45985</v>
      </c>
      <c r="K1" s="6">
        <v>45987</v>
      </c>
      <c r="L1" s="6">
        <v>45990</v>
      </c>
      <c r="M1" s="6">
        <v>45992</v>
      </c>
      <c r="N1" s="6">
        <v>45996</v>
      </c>
      <c r="O1" s="6">
        <v>45997</v>
      </c>
      <c r="P1" s="6">
        <v>46000</v>
      </c>
      <c r="Q1" s="6">
        <v>46001</v>
      </c>
      <c r="R1" s="6">
        <v>46011</v>
      </c>
    </row>
    <row r="2" spans="1:18">
      <c r="A2" s="4" t="s">
        <v>35</v>
      </c>
      <c r="B2" s="5">
        <f>+SUM(E2:AH2)</f>
        <v>257</v>
      </c>
      <c r="C2" s="4">
        <f t="shared" ref="C2:C9" si="0">SUM(E2:AH2)</f>
        <v>257</v>
      </c>
      <c r="D2" s="4">
        <f t="shared" ref="D2:D9" si="1">SUM(E2:AH2)</f>
        <v>257</v>
      </c>
      <c r="E2" s="4">
        <v>12</v>
      </c>
      <c r="F2" s="4">
        <v>15</v>
      </c>
      <c r="G2" s="4">
        <v>13</v>
      </c>
      <c r="H2" s="4">
        <v>17</v>
      </c>
      <c r="I2" s="4">
        <v>28</v>
      </c>
      <c r="J2" s="4">
        <v>15</v>
      </c>
      <c r="K2" s="4">
        <v>17</v>
      </c>
      <c r="L2">
        <v>16</v>
      </c>
      <c r="M2">
        <v>18</v>
      </c>
      <c r="N2">
        <v>30</v>
      </c>
      <c r="O2">
        <v>26</v>
      </c>
      <c r="P2">
        <v>19</v>
      </c>
      <c r="Q2">
        <v>18</v>
      </c>
      <c r="R2">
        <v>13</v>
      </c>
    </row>
    <row r="3" spans="1:18">
      <c r="A3" s="4" t="s">
        <v>25</v>
      </c>
      <c r="B3" s="4">
        <f>+SUM(E3:AH3)</f>
        <v>43</v>
      </c>
      <c r="C3" s="4">
        <f t="shared" si="0"/>
        <v>43</v>
      </c>
      <c r="D3" s="4">
        <f t="shared" si="1"/>
        <v>43</v>
      </c>
      <c r="E3" s="4">
        <v>2</v>
      </c>
      <c r="F3" s="4">
        <v>1</v>
      </c>
      <c r="G3" s="4">
        <v>1</v>
      </c>
      <c r="H3" s="4">
        <v>1</v>
      </c>
      <c r="I3" s="4">
        <v>5</v>
      </c>
      <c r="J3" s="4">
        <v>2</v>
      </c>
      <c r="K3" s="4">
        <v>4</v>
      </c>
      <c r="L3">
        <v>3</v>
      </c>
      <c r="M3">
        <v>2</v>
      </c>
      <c r="N3">
        <v>4</v>
      </c>
      <c r="O3">
        <v>4</v>
      </c>
      <c r="P3">
        <v>7</v>
      </c>
      <c r="Q3">
        <v>0</v>
      </c>
      <c r="R3">
        <v>7</v>
      </c>
    </row>
    <row r="4" spans="1:18">
      <c r="A4" s="4" t="s">
        <v>27</v>
      </c>
      <c r="B4" s="4">
        <f>+SUM(E4:AH4)</f>
        <v>85</v>
      </c>
      <c r="C4" s="4">
        <f t="shared" si="0"/>
        <v>85</v>
      </c>
      <c r="D4" s="4">
        <f t="shared" si="1"/>
        <v>85</v>
      </c>
      <c r="E4" s="4">
        <v>7</v>
      </c>
      <c r="F4" s="4">
        <v>1</v>
      </c>
      <c r="G4" s="4">
        <v>5</v>
      </c>
      <c r="H4" s="4">
        <v>5</v>
      </c>
      <c r="I4" s="4">
        <v>9</v>
      </c>
      <c r="J4" s="4">
        <v>9</v>
      </c>
      <c r="K4" s="4">
        <v>3</v>
      </c>
      <c r="L4">
        <v>3</v>
      </c>
      <c r="M4">
        <v>5</v>
      </c>
      <c r="N4">
        <v>6</v>
      </c>
      <c r="O4">
        <v>11</v>
      </c>
      <c r="P4">
        <v>7</v>
      </c>
      <c r="Q4">
        <v>8</v>
      </c>
      <c r="R4">
        <v>6</v>
      </c>
    </row>
    <row r="5" spans="1:18">
      <c r="A5" s="4" t="s">
        <v>12</v>
      </c>
      <c r="B5" s="4">
        <f>+SUM(E5:AH5)</f>
        <v>11</v>
      </c>
      <c r="C5" s="4">
        <f t="shared" si="0"/>
        <v>11</v>
      </c>
      <c r="D5" s="4">
        <f t="shared" si="1"/>
        <v>11</v>
      </c>
      <c r="E5" s="4">
        <v>0</v>
      </c>
      <c r="F5" s="4">
        <v>0</v>
      </c>
      <c r="G5" s="4">
        <v>2</v>
      </c>
      <c r="H5" s="4">
        <v>1</v>
      </c>
      <c r="I5" s="4">
        <v>0</v>
      </c>
      <c r="J5" s="4">
        <v>1</v>
      </c>
      <c r="K5" s="4">
        <v>0</v>
      </c>
      <c r="L5">
        <v>0</v>
      </c>
      <c r="M5">
        <v>1</v>
      </c>
      <c r="N5">
        <v>0</v>
      </c>
      <c r="O5">
        <v>1</v>
      </c>
      <c r="P5">
        <v>4</v>
      </c>
      <c r="Q5">
        <v>0</v>
      </c>
      <c r="R5">
        <v>1</v>
      </c>
    </row>
    <row r="6" spans="1:18">
      <c r="A6" s="4" t="s">
        <v>21</v>
      </c>
      <c r="B6" s="4">
        <f>+SUM(E6:AH6)</f>
        <v>4</v>
      </c>
      <c r="C6" s="4">
        <f t="shared" si="0"/>
        <v>4</v>
      </c>
      <c r="D6" s="4">
        <f t="shared" si="1"/>
        <v>4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</v>
      </c>
      <c r="K6" s="4">
        <v>0</v>
      </c>
      <c r="L6">
        <v>2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</row>
    <row r="7" spans="1:18">
      <c r="A7" s="4" t="s">
        <v>73</v>
      </c>
      <c r="B7" s="4">
        <f>+SUM(E7:AH7)</f>
        <v>93</v>
      </c>
      <c r="C7" s="4">
        <f t="shared" si="0"/>
        <v>93</v>
      </c>
      <c r="D7" s="4">
        <f t="shared" si="1"/>
        <v>93</v>
      </c>
      <c r="E7" s="4">
        <v>4</v>
      </c>
      <c r="F7" s="4">
        <v>4</v>
      </c>
      <c r="G7" s="4">
        <v>5</v>
      </c>
      <c r="H7" s="4">
        <v>7</v>
      </c>
      <c r="I7" s="4">
        <v>11</v>
      </c>
      <c r="J7" s="4">
        <v>5</v>
      </c>
      <c r="K7" s="4">
        <v>6</v>
      </c>
      <c r="L7">
        <v>5</v>
      </c>
      <c r="M7">
        <v>7</v>
      </c>
      <c r="N7">
        <v>10</v>
      </c>
      <c r="O7">
        <v>9</v>
      </c>
      <c r="P7">
        <v>9</v>
      </c>
      <c r="Q7">
        <v>7</v>
      </c>
      <c r="R7">
        <v>4</v>
      </c>
    </row>
    <row r="8" spans="1:18">
      <c r="A8" s="4" t="s">
        <v>38</v>
      </c>
      <c r="B8" s="4">
        <f>+SUM(E8:AH8)</f>
        <v>33</v>
      </c>
      <c r="C8" s="4">
        <f t="shared" si="0"/>
        <v>33</v>
      </c>
      <c r="D8" s="4">
        <f t="shared" si="1"/>
        <v>33</v>
      </c>
      <c r="E8" s="4">
        <v>0</v>
      </c>
      <c r="F8" s="4">
        <v>1</v>
      </c>
      <c r="G8" s="4">
        <v>0</v>
      </c>
      <c r="H8" s="4">
        <v>6</v>
      </c>
      <c r="I8" s="4">
        <v>6</v>
      </c>
      <c r="J8" s="4">
        <v>3</v>
      </c>
      <c r="K8" s="4">
        <v>3</v>
      </c>
      <c r="L8">
        <v>1</v>
      </c>
      <c r="M8">
        <v>2</v>
      </c>
      <c r="N8">
        <v>4</v>
      </c>
      <c r="O8">
        <v>4</v>
      </c>
      <c r="P8">
        <v>0</v>
      </c>
      <c r="Q8">
        <v>2</v>
      </c>
      <c r="R8">
        <v>1</v>
      </c>
    </row>
    <row r="9" spans="1:18">
      <c r="A9" s="4" t="s">
        <v>74</v>
      </c>
      <c r="B9" s="4">
        <f>+SUM(E9:AH9)</f>
        <v>1</v>
      </c>
      <c r="C9" s="4">
        <f t="shared" si="0"/>
        <v>1</v>
      </c>
      <c r="D9" s="4">
        <f t="shared" si="1"/>
        <v>1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</row>
    <row r="10" spans="1:18">
      <c r="A10" s="4" t="s">
        <v>75</v>
      </c>
      <c r="B10" s="5">
        <f>+SUM(E10:AH10)</f>
        <v>373.62999999999994</v>
      </c>
      <c r="C10" s="15">
        <v>50.9</v>
      </c>
      <c r="D10" s="15">
        <v>50.9</v>
      </c>
      <c r="E10" s="10" t="s">
        <v>126</v>
      </c>
      <c r="F10" s="10" t="s">
        <v>127</v>
      </c>
      <c r="G10" s="4">
        <v>26.11</v>
      </c>
      <c r="H10" s="4">
        <v>19.559999999999999</v>
      </c>
      <c r="I10" s="4">
        <v>32.450000000000003</v>
      </c>
      <c r="J10" s="4">
        <v>35.090000000000003</v>
      </c>
      <c r="K10" s="4">
        <v>34.22</v>
      </c>
      <c r="L10">
        <v>24.57</v>
      </c>
      <c r="M10">
        <v>35.130000000000003</v>
      </c>
      <c r="N10">
        <v>32.299999999999997</v>
      </c>
      <c r="O10">
        <v>36.340000000000003</v>
      </c>
      <c r="P10">
        <v>37.5</v>
      </c>
      <c r="Q10">
        <v>29.34</v>
      </c>
      <c r="R10">
        <v>31.02</v>
      </c>
    </row>
    <row r="11" spans="1:18">
      <c r="A11" s="4" t="s">
        <v>78</v>
      </c>
      <c r="B11" s="4">
        <f>+SUM(E11:AH11)</f>
        <v>27</v>
      </c>
      <c r="C11" s="4">
        <f>SUM(E11:AH11)</f>
        <v>27</v>
      </c>
      <c r="D11" s="4">
        <f>SUM(E11:AH11)</f>
        <v>27</v>
      </c>
      <c r="E11" s="4">
        <v>2</v>
      </c>
      <c r="F11" s="4">
        <v>3</v>
      </c>
      <c r="G11" s="4">
        <v>2</v>
      </c>
      <c r="H11" s="4">
        <v>1</v>
      </c>
      <c r="I11" s="4">
        <v>0</v>
      </c>
      <c r="J11" s="4">
        <v>1</v>
      </c>
      <c r="K11" s="4">
        <v>1</v>
      </c>
      <c r="L11">
        <v>4</v>
      </c>
      <c r="M11">
        <v>1</v>
      </c>
      <c r="N11">
        <v>4</v>
      </c>
      <c r="O11">
        <v>3</v>
      </c>
      <c r="P11">
        <v>1</v>
      </c>
      <c r="Q11">
        <v>1</v>
      </c>
      <c r="R11">
        <v>3</v>
      </c>
    </row>
    <row r="12" spans="1:18">
      <c r="A12" s="4" t="s">
        <v>79</v>
      </c>
      <c r="B12" s="4">
        <f>+SUM(E12:AH12)</f>
        <v>14</v>
      </c>
      <c r="C12" s="4">
        <f>SUM(E12:AH12)</f>
        <v>14</v>
      </c>
      <c r="D12" s="4">
        <f>SUM(E12:AH12)</f>
        <v>14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</row>
    <row r="15" spans="1:18" ht="15">
      <c r="A15" s="3"/>
      <c r="B15" s="3"/>
      <c r="C15" s="40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B3EE3-A9B3-4769-ADB5-D1467E994DD0}">
  <dimension ref="A1:AN12"/>
  <sheetViews>
    <sheetView topLeftCell="AB1" zoomScaleNormal="100" workbookViewId="0">
      <selection activeCell="AN13" sqref="AN13"/>
    </sheetView>
  </sheetViews>
  <sheetFormatPr defaultRowHeight="14.45"/>
  <cols>
    <col min="1" max="1" width="21.28515625" style="4" customWidth="1"/>
    <col min="2" max="3" width="12.7109375" style="4" customWidth="1"/>
    <col min="4" max="6" width="8.7109375" style="4"/>
    <col min="7" max="8" width="9.140625" style="4"/>
  </cols>
  <sheetData>
    <row r="1" spans="1:40">
      <c r="A1" s="3" t="s">
        <v>128</v>
      </c>
      <c r="B1" s="3" t="s">
        <v>71</v>
      </c>
      <c r="C1" s="3" t="s">
        <v>81</v>
      </c>
      <c r="D1" s="3" t="s">
        <v>11</v>
      </c>
      <c r="E1" s="7">
        <v>45968</v>
      </c>
      <c r="F1" s="7">
        <v>45970</v>
      </c>
      <c r="G1" s="7">
        <v>45975</v>
      </c>
      <c r="H1" s="7">
        <v>45976</v>
      </c>
      <c r="I1" s="6">
        <v>45983</v>
      </c>
      <c r="J1" s="6">
        <v>45985</v>
      </c>
      <c r="K1" s="6">
        <v>45987</v>
      </c>
      <c r="L1" s="6">
        <v>45990</v>
      </c>
      <c r="M1" s="6">
        <v>45992</v>
      </c>
      <c r="N1" s="6">
        <v>45996</v>
      </c>
      <c r="O1" s="6">
        <v>45997</v>
      </c>
      <c r="P1" s="6">
        <v>46000</v>
      </c>
      <c r="Q1" s="6">
        <v>46001</v>
      </c>
      <c r="R1" s="6">
        <v>46003</v>
      </c>
      <c r="S1" s="6">
        <v>46011</v>
      </c>
      <c r="T1" s="6">
        <v>46013</v>
      </c>
      <c r="U1" s="6">
        <v>46019</v>
      </c>
      <c r="V1" s="6">
        <v>45659</v>
      </c>
      <c r="W1" s="6">
        <v>45661</v>
      </c>
      <c r="X1" s="6">
        <v>45663</v>
      </c>
      <c r="Y1" s="6">
        <v>45665</v>
      </c>
      <c r="Z1" s="6">
        <v>45666</v>
      </c>
      <c r="AA1" s="6">
        <v>45669</v>
      </c>
      <c r="AB1" s="6">
        <v>45671</v>
      </c>
      <c r="AC1" s="6">
        <v>46040</v>
      </c>
      <c r="AD1" s="6">
        <v>46041</v>
      </c>
      <c r="AE1" s="6">
        <v>46043</v>
      </c>
      <c r="AF1" s="6">
        <v>46045</v>
      </c>
      <c r="AG1" s="6">
        <v>46048</v>
      </c>
      <c r="AH1" s="6">
        <v>46050</v>
      </c>
      <c r="AI1" s="6">
        <v>46055</v>
      </c>
      <c r="AJ1" s="6">
        <v>46058</v>
      </c>
      <c r="AK1" s="6">
        <v>46059</v>
      </c>
      <c r="AL1" s="6">
        <v>46061</v>
      </c>
      <c r="AM1" s="6">
        <v>46063</v>
      </c>
      <c r="AN1" s="6">
        <v>46065</v>
      </c>
    </row>
    <row r="2" spans="1:40">
      <c r="A2" s="4" t="s">
        <v>35</v>
      </c>
      <c r="B2" s="5">
        <f>C2+SUM(E2:AY2)</f>
        <v>1849</v>
      </c>
      <c r="C2" s="5">
        <v>1204</v>
      </c>
      <c r="D2" s="4">
        <f t="shared" ref="D2:D9" si="0">SUM(E2:AY2)</f>
        <v>645</v>
      </c>
      <c r="E2" s="4">
        <v>18</v>
      </c>
      <c r="F2" s="4">
        <v>8</v>
      </c>
      <c r="G2" s="4">
        <v>13</v>
      </c>
      <c r="H2" s="4">
        <v>24</v>
      </c>
      <c r="I2" s="4">
        <v>17</v>
      </c>
      <c r="J2" s="4">
        <v>22</v>
      </c>
      <c r="K2" s="4">
        <v>21</v>
      </c>
      <c r="L2">
        <v>8</v>
      </c>
      <c r="M2">
        <v>30</v>
      </c>
      <c r="N2">
        <v>22</v>
      </c>
      <c r="O2">
        <v>26</v>
      </c>
      <c r="P2">
        <v>25</v>
      </c>
      <c r="Q2">
        <v>19</v>
      </c>
      <c r="R2" s="19"/>
      <c r="S2">
        <v>9</v>
      </c>
      <c r="T2">
        <v>20</v>
      </c>
      <c r="U2">
        <v>16</v>
      </c>
      <c r="V2">
        <v>11</v>
      </c>
      <c r="W2">
        <v>20</v>
      </c>
      <c r="X2">
        <v>23</v>
      </c>
      <c r="Y2">
        <v>23</v>
      </c>
      <c r="Z2">
        <v>19</v>
      </c>
      <c r="AA2">
        <v>12</v>
      </c>
      <c r="AB2">
        <v>20</v>
      </c>
      <c r="AC2">
        <v>15</v>
      </c>
      <c r="AD2">
        <v>11</v>
      </c>
      <c r="AE2">
        <v>12</v>
      </c>
      <c r="AF2">
        <v>15</v>
      </c>
      <c r="AG2">
        <v>16</v>
      </c>
      <c r="AH2">
        <v>18</v>
      </c>
      <c r="AI2">
        <v>16</v>
      </c>
      <c r="AJ2">
        <v>21</v>
      </c>
      <c r="AK2">
        <v>16</v>
      </c>
      <c r="AL2">
        <v>24</v>
      </c>
      <c r="AM2">
        <v>25</v>
      </c>
      <c r="AN2">
        <v>30</v>
      </c>
    </row>
    <row r="3" spans="1:40">
      <c r="A3" s="4" t="s">
        <v>25</v>
      </c>
      <c r="B3" s="4">
        <f>C3+SUM(E3:AY3)</f>
        <v>534</v>
      </c>
      <c r="C3" s="4">
        <v>324</v>
      </c>
      <c r="D3" s="4">
        <f t="shared" si="0"/>
        <v>210</v>
      </c>
      <c r="E3" s="4">
        <v>3</v>
      </c>
      <c r="F3" s="4">
        <v>6</v>
      </c>
      <c r="G3" s="4">
        <v>7</v>
      </c>
      <c r="H3" s="4">
        <v>8</v>
      </c>
      <c r="I3" s="4">
        <v>5</v>
      </c>
      <c r="J3" s="4">
        <v>4</v>
      </c>
      <c r="K3" s="4">
        <v>4</v>
      </c>
      <c r="L3">
        <v>6</v>
      </c>
      <c r="M3">
        <v>6</v>
      </c>
      <c r="N3">
        <v>7</v>
      </c>
      <c r="O3">
        <v>5</v>
      </c>
      <c r="P3">
        <v>7</v>
      </c>
      <c r="Q3">
        <v>5</v>
      </c>
      <c r="R3" s="19"/>
      <c r="S3">
        <v>8</v>
      </c>
      <c r="T3">
        <v>4</v>
      </c>
      <c r="U3">
        <v>8</v>
      </c>
      <c r="V3">
        <v>8</v>
      </c>
      <c r="W3">
        <v>7</v>
      </c>
      <c r="X3">
        <v>4</v>
      </c>
      <c r="Y3">
        <v>6</v>
      </c>
      <c r="Z3">
        <v>7</v>
      </c>
      <c r="AA3">
        <v>6</v>
      </c>
      <c r="AB3">
        <v>2</v>
      </c>
      <c r="AC3">
        <v>7</v>
      </c>
      <c r="AD3">
        <v>3</v>
      </c>
      <c r="AE3">
        <v>4</v>
      </c>
      <c r="AF3">
        <v>6</v>
      </c>
      <c r="AG3">
        <v>3</v>
      </c>
      <c r="AH3">
        <v>10</v>
      </c>
      <c r="AI3">
        <v>12</v>
      </c>
      <c r="AJ3">
        <v>3</v>
      </c>
      <c r="AK3">
        <v>7</v>
      </c>
      <c r="AL3">
        <v>7</v>
      </c>
      <c r="AM3">
        <v>8</v>
      </c>
      <c r="AN3">
        <v>7</v>
      </c>
    </row>
    <row r="4" spans="1:40">
      <c r="A4" s="4" t="s">
        <v>27</v>
      </c>
      <c r="B4" s="4">
        <f>C4+SUM(E4:AY4)</f>
        <v>289</v>
      </c>
      <c r="C4" s="4">
        <v>200</v>
      </c>
      <c r="D4" s="4">
        <f t="shared" si="0"/>
        <v>89</v>
      </c>
      <c r="E4" s="4">
        <v>1</v>
      </c>
      <c r="F4" s="4">
        <v>3</v>
      </c>
      <c r="G4" s="4">
        <v>0</v>
      </c>
      <c r="H4" s="4">
        <v>2</v>
      </c>
      <c r="I4" s="4">
        <v>2</v>
      </c>
      <c r="J4" s="4">
        <v>2</v>
      </c>
      <c r="K4" s="4">
        <v>4</v>
      </c>
      <c r="L4">
        <v>2</v>
      </c>
      <c r="M4">
        <v>2</v>
      </c>
      <c r="N4">
        <v>4</v>
      </c>
      <c r="O4">
        <v>4</v>
      </c>
      <c r="P4">
        <v>0</v>
      </c>
      <c r="Q4">
        <v>3</v>
      </c>
      <c r="R4" s="19"/>
      <c r="S4">
        <v>3</v>
      </c>
      <c r="T4">
        <v>3</v>
      </c>
      <c r="U4">
        <v>2</v>
      </c>
      <c r="V4">
        <v>2</v>
      </c>
      <c r="W4">
        <v>4</v>
      </c>
      <c r="X4">
        <v>4</v>
      </c>
      <c r="Y4">
        <v>1</v>
      </c>
      <c r="Z4">
        <v>3</v>
      </c>
      <c r="AA4">
        <v>3</v>
      </c>
      <c r="AB4">
        <v>2</v>
      </c>
      <c r="AC4">
        <v>3</v>
      </c>
      <c r="AD4">
        <v>3</v>
      </c>
      <c r="AE4">
        <v>2</v>
      </c>
      <c r="AF4">
        <v>2</v>
      </c>
      <c r="AG4">
        <v>4</v>
      </c>
      <c r="AH4">
        <v>2</v>
      </c>
      <c r="AI4">
        <v>2</v>
      </c>
      <c r="AJ4">
        <v>2</v>
      </c>
      <c r="AK4">
        <v>3</v>
      </c>
      <c r="AL4">
        <v>2</v>
      </c>
      <c r="AM4">
        <v>6</v>
      </c>
      <c r="AN4">
        <v>2</v>
      </c>
    </row>
    <row r="5" spans="1:40">
      <c r="A5" s="4" t="s">
        <v>12</v>
      </c>
      <c r="B5" s="4">
        <f>C5+SUM(E5:AY5)</f>
        <v>155</v>
      </c>
      <c r="C5" s="4">
        <v>94</v>
      </c>
      <c r="D5" s="4">
        <f t="shared" si="0"/>
        <v>61</v>
      </c>
      <c r="E5" s="4">
        <v>4</v>
      </c>
      <c r="F5" s="4">
        <v>2</v>
      </c>
      <c r="G5" s="4">
        <v>4</v>
      </c>
      <c r="H5" s="4">
        <v>1</v>
      </c>
      <c r="I5" s="4">
        <v>2</v>
      </c>
      <c r="J5" s="4">
        <v>3</v>
      </c>
      <c r="K5" s="4">
        <v>2</v>
      </c>
      <c r="L5">
        <v>0</v>
      </c>
      <c r="M5">
        <v>3</v>
      </c>
      <c r="N5">
        <v>1</v>
      </c>
      <c r="O5">
        <v>2</v>
      </c>
      <c r="P5">
        <v>2</v>
      </c>
      <c r="Q5">
        <v>2</v>
      </c>
      <c r="R5" s="19"/>
      <c r="S5">
        <v>1</v>
      </c>
      <c r="T5">
        <v>2</v>
      </c>
      <c r="U5">
        <v>3</v>
      </c>
      <c r="V5">
        <v>3</v>
      </c>
      <c r="W5">
        <v>1</v>
      </c>
      <c r="X5">
        <v>1</v>
      </c>
      <c r="Y5">
        <v>5</v>
      </c>
      <c r="Z5">
        <v>1</v>
      </c>
      <c r="AA5">
        <v>3</v>
      </c>
      <c r="AB5">
        <v>3</v>
      </c>
      <c r="AC5">
        <v>1</v>
      </c>
      <c r="AD5">
        <v>2</v>
      </c>
      <c r="AE5">
        <v>2</v>
      </c>
      <c r="AF5">
        <v>1</v>
      </c>
      <c r="AG5">
        <v>2</v>
      </c>
      <c r="AH5">
        <v>0</v>
      </c>
      <c r="AI5">
        <v>0</v>
      </c>
      <c r="AJ5">
        <v>0</v>
      </c>
      <c r="AK5">
        <v>1</v>
      </c>
      <c r="AL5">
        <v>0</v>
      </c>
      <c r="AM5">
        <v>1</v>
      </c>
      <c r="AN5">
        <v>0</v>
      </c>
    </row>
    <row r="6" spans="1:40">
      <c r="A6" s="4" t="s">
        <v>21</v>
      </c>
      <c r="B6" s="4">
        <f>C6+SUM(E6:AY6)</f>
        <v>82</v>
      </c>
      <c r="C6" s="4">
        <v>60</v>
      </c>
      <c r="D6" s="4">
        <f t="shared" si="0"/>
        <v>22</v>
      </c>
      <c r="E6" s="4">
        <v>2</v>
      </c>
      <c r="F6" s="4">
        <v>0</v>
      </c>
      <c r="G6" s="4">
        <v>1</v>
      </c>
      <c r="H6" s="4">
        <v>2</v>
      </c>
      <c r="I6" s="4">
        <v>0</v>
      </c>
      <c r="J6" s="4">
        <v>0</v>
      </c>
      <c r="K6" s="4">
        <v>0</v>
      </c>
      <c r="L6">
        <v>0</v>
      </c>
      <c r="M6">
        <v>0</v>
      </c>
      <c r="N6">
        <v>1</v>
      </c>
      <c r="O6">
        <v>1</v>
      </c>
      <c r="P6">
        <v>1</v>
      </c>
      <c r="Q6">
        <v>1</v>
      </c>
      <c r="R6" s="19"/>
      <c r="S6">
        <v>1</v>
      </c>
      <c r="T6">
        <v>0</v>
      </c>
      <c r="U6">
        <v>2</v>
      </c>
      <c r="V6">
        <v>0</v>
      </c>
      <c r="W6">
        <v>1</v>
      </c>
      <c r="X6">
        <v>0</v>
      </c>
      <c r="Y6">
        <v>1</v>
      </c>
      <c r="Z6">
        <v>0</v>
      </c>
      <c r="AA6">
        <v>1</v>
      </c>
      <c r="AB6">
        <v>1</v>
      </c>
      <c r="AC6">
        <v>0</v>
      </c>
      <c r="AD6">
        <v>0</v>
      </c>
      <c r="AE6">
        <v>0</v>
      </c>
      <c r="AF6">
        <v>4</v>
      </c>
      <c r="AG6">
        <v>0</v>
      </c>
      <c r="AH6">
        <v>0</v>
      </c>
      <c r="AI6">
        <v>1</v>
      </c>
      <c r="AJ6">
        <v>0</v>
      </c>
      <c r="AK6">
        <v>0</v>
      </c>
      <c r="AL6">
        <v>0</v>
      </c>
      <c r="AM6">
        <v>0</v>
      </c>
      <c r="AN6">
        <v>1</v>
      </c>
    </row>
    <row r="7" spans="1:40">
      <c r="A7" s="4" t="s">
        <v>73</v>
      </c>
      <c r="B7" s="4">
        <f>C7+SUM(E7:AY7)</f>
        <v>695</v>
      </c>
      <c r="C7" s="4">
        <v>459</v>
      </c>
      <c r="D7" s="4">
        <f t="shared" si="0"/>
        <v>236</v>
      </c>
      <c r="E7" s="4">
        <v>4</v>
      </c>
      <c r="F7" s="4">
        <v>3</v>
      </c>
      <c r="G7" s="4">
        <v>5</v>
      </c>
      <c r="H7" s="4">
        <v>9</v>
      </c>
      <c r="I7" s="4">
        <v>6</v>
      </c>
      <c r="J7" s="4">
        <v>9</v>
      </c>
      <c r="K7" s="4">
        <v>5</v>
      </c>
      <c r="L7">
        <v>3</v>
      </c>
      <c r="M7">
        <v>12</v>
      </c>
      <c r="N7">
        <v>9</v>
      </c>
      <c r="O7">
        <v>8</v>
      </c>
      <c r="P7">
        <v>10</v>
      </c>
      <c r="Q7">
        <v>7</v>
      </c>
      <c r="R7" s="19"/>
      <c r="S7">
        <v>4</v>
      </c>
      <c r="T7">
        <v>8</v>
      </c>
      <c r="U7">
        <v>4</v>
      </c>
      <c r="V7">
        <v>5</v>
      </c>
      <c r="W7">
        <v>8</v>
      </c>
      <c r="X7">
        <v>8</v>
      </c>
      <c r="Y7">
        <v>9</v>
      </c>
      <c r="Z7">
        <v>7</v>
      </c>
      <c r="AA7">
        <v>5</v>
      </c>
      <c r="AB7">
        <v>7</v>
      </c>
      <c r="AC7">
        <v>6</v>
      </c>
      <c r="AD7">
        <v>4</v>
      </c>
      <c r="AE7">
        <v>5</v>
      </c>
      <c r="AF7">
        <v>6</v>
      </c>
      <c r="AG7">
        <v>6</v>
      </c>
      <c r="AH7">
        <v>8</v>
      </c>
      <c r="AI7">
        <v>5</v>
      </c>
      <c r="AJ7">
        <v>6</v>
      </c>
      <c r="AK7">
        <v>5</v>
      </c>
      <c r="AL7">
        <v>10</v>
      </c>
      <c r="AM7">
        <v>8</v>
      </c>
      <c r="AN7">
        <v>12</v>
      </c>
    </row>
    <row r="8" spans="1:40">
      <c r="A8" s="4" t="s">
        <v>38</v>
      </c>
      <c r="B8" s="4">
        <f>C8+SUM(E8:AY8)</f>
        <v>194</v>
      </c>
      <c r="C8" s="4">
        <v>124</v>
      </c>
      <c r="D8" s="4">
        <f t="shared" si="0"/>
        <v>70</v>
      </c>
      <c r="E8" s="4">
        <v>3</v>
      </c>
      <c r="F8" s="4">
        <v>0</v>
      </c>
      <c r="G8" s="4">
        <v>1</v>
      </c>
      <c r="H8" s="4">
        <v>1</v>
      </c>
      <c r="I8" s="4">
        <v>5</v>
      </c>
      <c r="J8" s="4">
        <v>2</v>
      </c>
      <c r="K8" s="4">
        <v>3</v>
      </c>
      <c r="L8">
        <v>0</v>
      </c>
      <c r="M8">
        <v>4</v>
      </c>
      <c r="N8">
        <v>2</v>
      </c>
      <c r="O8">
        <v>3</v>
      </c>
      <c r="P8">
        <v>4</v>
      </c>
      <c r="Q8">
        <v>3</v>
      </c>
      <c r="R8" s="19"/>
      <c r="S8">
        <v>1</v>
      </c>
      <c r="T8">
        <v>2</v>
      </c>
      <c r="U8">
        <v>2</v>
      </c>
      <c r="V8">
        <v>0</v>
      </c>
      <c r="W8">
        <v>3</v>
      </c>
      <c r="X8">
        <v>3</v>
      </c>
      <c r="Y8">
        <v>1</v>
      </c>
      <c r="Z8">
        <v>3</v>
      </c>
      <c r="AA8">
        <v>2</v>
      </c>
      <c r="AB8">
        <v>2</v>
      </c>
      <c r="AC8">
        <v>1</v>
      </c>
      <c r="AD8">
        <v>1</v>
      </c>
      <c r="AE8">
        <v>2</v>
      </c>
      <c r="AF8">
        <v>3</v>
      </c>
      <c r="AG8">
        <v>1</v>
      </c>
      <c r="AH8">
        <v>2</v>
      </c>
      <c r="AI8">
        <v>1</v>
      </c>
      <c r="AJ8">
        <v>3</v>
      </c>
      <c r="AK8">
        <v>0</v>
      </c>
      <c r="AL8">
        <v>1</v>
      </c>
      <c r="AM8">
        <v>2</v>
      </c>
      <c r="AN8">
        <v>3</v>
      </c>
    </row>
    <row r="9" spans="1:40">
      <c r="A9" s="4" t="s">
        <v>74</v>
      </c>
      <c r="B9" s="4">
        <f>C9+SUM(E9:AY9)</f>
        <v>6</v>
      </c>
      <c r="C9" s="4">
        <v>4</v>
      </c>
      <c r="D9" s="4">
        <f t="shared" si="0"/>
        <v>2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 s="19"/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1</v>
      </c>
      <c r="AJ9">
        <v>0</v>
      </c>
      <c r="AK9">
        <v>0</v>
      </c>
      <c r="AL9">
        <v>0</v>
      </c>
      <c r="AM9">
        <v>0</v>
      </c>
      <c r="AN9">
        <v>0</v>
      </c>
    </row>
    <row r="10" spans="1:40">
      <c r="A10" s="4" t="s">
        <v>75</v>
      </c>
      <c r="B10" s="15">
        <f>C10+SUM(E10:AG10)</f>
        <v>3278.56</v>
      </c>
      <c r="C10" s="15">
        <v>2392.5</v>
      </c>
      <c r="D10" s="15">
        <v>56.7</v>
      </c>
      <c r="E10" s="10" t="s">
        <v>129</v>
      </c>
      <c r="F10" s="10" t="s">
        <v>130</v>
      </c>
      <c r="G10" s="4">
        <v>29.17</v>
      </c>
      <c r="H10" s="4">
        <v>39.24</v>
      </c>
      <c r="I10" s="4">
        <v>31.36</v>
      </c>
      <c r="J10" s="4">
        <v>33.57</v>
      </c>
      <c r="K10" s="4">
        <v>30.27</v>
      </c>
      <c r="L10">
        <v>27.25</v>
      </c>
      <c r="M10">
        <v>37.57</v>
      </c>
      <c r="N10">
        <v>30.26</v>
      </c>
      <c r="O10">
        <v>41.33</v>
      </c>
      <c r="P10">
        <v>34.06</v>
      </c>
      <c r="Q10">
        <v>30.26</v>
      </c>
      <c r="R10" s="19"/>
      <c r="S10">
        <v>24.38</v>
      </c>
      <c r="T10">
        <v>30.1</v>
      </c>
      <c r="U10">
        <v>35.19</v>
      </c>
      <c r="V10">
        <v>21.31</v>
      </c>
      <c r="W10">
        <v>38.450000000000003</v>
      </c>
      <c r="X10">
        <v>35.5</v>
      </c>
      <c r="Y10">
        <v>40.119999999999997</v>
      </c>
      <c r="Z10">
        <v>39.159999999999997</v>
      </c>
      <c r="AA10">
        <v>37.299999999999997</v>
      </c>
      <c r="AB10">
        <v>39.1</v>
      </c>
      <c r="AC10">
        <v>40.159999999999997</v>
      </c>
      <c r="AD10">
        <v>36.340000000000003</v>
      </c>
      <c r="AE10">
        <v>29.41</v>
      </c>
      <c r="AF10">
        <v>38.200000000000003</v>
      </c>
      <c r="AG10">
        <v>37</v>
      </c>
      <c r="AH10">
        <v>39.15</v>
      </c>
      <c r="AI10">
        <v>38.479999999999997</v>
      </c>
      <c r="AJ10">
        <v>28.05</v>
      </c>
      <c r="AK10">
        <v>33.119999999999997</v>
      </c>
      <c r="AL10">
        <v>34.299999999999997</v>
      </c>
      <c r="AM10">
        <v>36.299999999999997</v>
      </c>
      <c r="AN10">
        <v>31.26</v>
      </c>
    </row>
    <row r="11" spans="1:40">
      <c r="A11" s="4" t="s">
        <v>78</v>
      </c>
      <c r="B11" s="4">
        <f>C11+SUM(E11:AY11)</f>
        <v>160</v>
      </c>
      <c r="C11" s="4">
        <v>100</v>
      </c>
      <c r="D11" s="4">
        <f>SUM(E11:AY11)</f>
        <v>60</v>
      </c>
      <c r="E11" s="4">
        <v>4</v>
      </c>
      <c r="F11" s="4">
        <v>2</v>
      </c>
      <c r="G11" s="4">
        <v>1</v>
      </c>
      <c r="H11" s="4">
        <v>3</v>
      </c>
      <c r="I11" s="4">
        <v>0</v>
      </c>
      <c r="J11" s="4">
        <v>1</v>
      </c>
      <c r="K11" s="4">
        <v>4</v>
      </c>
      <c r="L11">
        <v>1</v>
      </c>
      <c r="M11">
        <v>1</v>
      </c>
      <c r="N11">
        <v>2</v>
      </c>
      <c r="O11">
        <v>3</v>
      </c>
      <c r="P11">
        <v>1</v>
      </c>
      <c r="Q11">
        <v>1</v>
      </c>
      <c r="R11" s="19"/>
      <c r="S11">
        <v>0</v>
      </c>
      <c r="T11">
        <v>2</v>
      </c>
      <c r="U11">
        <v>3</v>
      </c>
      <c r="V11">
        <v>1</v>
      </c>
      <c r="W11">
        <v>1</v>
      </c>
      <c r="X11">
        <v>3</v>
      </c>
      <c r="Y11">
        <v>2</v>
      </c>
      <c r="Z11">
        <v>1</v>
      </c>
      <c r="AA11">
        <v>0</v>
      </c>
      <c r="AB11">
        <v>3</v>
      </c>
      <c r="AC11">
        <v>1</v>
      </c>
      <c r="AD11">
        <v>1</v>
      </c>
      <c r="AE11">
        <v>0</v>
      </c>
      <c r="AF11">
        <v>0</v>
      </c>
      <c r="AG11">
        <v>3</v>
      </c>
      <c r="AH11">
        <v>0</v>
      </c>
      <c r="AI11">
        <v>4</v>
      </c>
      <c r="AJ11">
        <v>0</v>
      </c>
      <c r="AK11">
        <v>3</v>
      </c>
      <c r="AL11">
        <v>2</v>
      </c>
      <c r="AM11">
        <v>4</v>
      </c>
      <c r="AN11">
        <v>2</v>
      </c>
    </row>
    <row r="12" spans="1:40">
      <c r="A12" s="4" t="s">
        <v>79</v>
      </c>
      <c r="B12" s="4">
        <f>C12+SUM(E12:AY12)</f>
        <v>116</v>
      </c>
      <c r="C12" s="4">
        <v>81</v>
      </c>
      <c r="D12" s="4">
        <f>SUM(E12:AY12)</f>
        <v>35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 s="19"/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9CC01-F900-4463-9254-D04964C822B2}">
  <dimension ref="A1:Z26"/>
  <sheetViews>
    <sheetView workbookViewId="0">
      <selection activeCell="C28" sqref="C28"/>
    </sheetView>
  </sheetViews>
  <sheetFormatPr defaultRowHeight="15" customHeight="1"/>
  <cols>
    <col min="1" max="1" width="21.28515625" style="4" customWidth="1"/>
    <col min="2" max="2" width="12.7109375" style="4" customWidth="1"/>
    <col min="3" max="3" width="13.7109375" style="4" customWidth="1"/>
    <col min="4" max="4" width="10.140625" style="4" customWidth="1"/>
    <col min="5" max="5" width="9.140625" style="3"/>
    <col min="8" max="8" width="9.140625" style="24"/>
  </cols>
  <sheetData>
    <row r="1" spans="1:26">
      <c r="A1" s="3" t="s">
        <v>131</v>
      </c>
      <c r="B1" s="3" t="s">
        <v>71</v>
      </c>
      <c r="C1" s="3" t="s">
        <v>132</v>
      </c>
      <c r="D1" s="3" t="s">
        <v>72</v>
      </c>
      <c r="E1" s="3" t="s">
        <v>11</v>
      </c>
      <c r="F1" s="6">
        <v>46078</v>
      </c>
      <c r="G1" s="6">
        <v>46079</v>
      </c>
      <c r="H1" s="23">
        <v>46082</v>
      </c>
      <c r="I1" s="6">
        <v>46085</v>
      </c>
      <c r="J1" s="6">
        <v>46087</v>
      </c>
      <c r="K1" s="6">
        <v>46096</v>
      </c>
      <c r="L1" s="6">
        <v>46098</v>
      </c>
      <c r="M1" s="6">
        <v>46100</v>
      </c>
      <c r="N1" s="6">
        <v>46103</v>
      </c>
      <c r="O1" s="6">
        <v>46105</v>
      </c>
      <c r="P1" s="6">
        <v>46106</v>
      </c>
      <c r="Q1" s="6">
        <v>46109</v>
      </c>
      <c r="R1" s="6"/>
      <c r="S1" s="6"/>
      <c r="T1" s="6"/>
      <c r="U1" s="6"/>
      <c r="V1" s="6"/>
      <c r="W1" s="6"/>
      <c r="X1" s="6"/>
      <c r="Y1" s="6"/>
      <c r="Z1" s="6"/>
    </row>
    <row r="2" spans="1:26">
      <c r="A2" s="4" t="s">
        <v>35</v>
      </c>
      <c r="B2" s="5">
        <f t="shared" ref="B2:B9" si="0">C2+SUM(F2:AI2)</f>
        <v>65</v>
      </c>
      <c r="C2" s="4">
        <v>29</v>
      </c>
      <c r="D2" s="5">
        <f>C2+SUM(F2:AI2)</f>
        <v>65</v>
      </c>
      <c r="E2" s="4">
        <f t="shared" ref="E2:E12" si="1">SUM(F2:AI2)</f>
        <v>36</v>
      </c>
      <c r="F2" s="19"/>
      <c r="G2" s="19"/>
      <c r="H2" s="36"/>
      <c r="I2" s="19"/>
      <c r="J2" s="19"/>
      <c r="K2">
        <v>4</v>
      </c>
      <c r="L2">
        <v>6</v>
      </c>
      <c r="M2">
        <v>6</v>
      </c>
      <c r="N2">
        <v>4</v>
      </c>
      <c r="O2">
        <v>8</v>
      </c>
      <c r="P2">
        <v>2</v>
      </c>
      <c r="Q2">
        <v>6</v>
      </c>
    </row>
    <row r="3" spans="1:26">
      <c r="A3" s="4" t="s">
        <v>25</v>
      </c>
      <c r="B3" s="4">
        <f t="shared" si="0"/>
        <v>61</v>
      </c>
      <c r="C3" s="4">
        <v>46</v>
      </c>
      <c r="D3" s="4">
        <f t="shared" ref="D3:D12" si="2">C3+SUM(F3:AI3)</f>
        <v>61</v>
      </c>
      <c r="E3" s="4">
        <f t="shared" si="1"/>
        <v>15</v>
      </c>
      <c r="F3" s="19"/>
      <c r="G3" s="19"/>
      <c r="H3" s="36"/>
      <c r="I3" s="19"/>
      <c r="J3" s="19"/>
      <c r="K3">
        <v>2</v>
      </c>
      <c r="L3">
        <v>2</v>
      </c>
      <c r="M3">
        <v>0</v>
      </c>
      <c r="N3">
        <v>1</v>
      </c>
      <c r="O3">
        <v>4</v>
      </c>
      <c r="P3">
        <v>4</v>
      </c>
      <c r="Q3">
        <v>2</v>
      </c>
    </row>
    <row r="4" spans="1:26">
      <c r="A4" s="4" t="s">
        <v>27</v>
      </c>
      <c r="B4" s="4">
        <f t="shared" si="0"/>
        <v>23</v>
      </c>
      <c r="C4" s="4">
        <v>13</v>
      </c>
      <c r="D4" s="4">
        <f t="shared" si="2"/>
        <v>23</v>
      </c>
      <c r="E4" s="4">
        <f t="shared" si="1"/>
        <v>10</v>
      </c>
      <c r="F4" s="19"/>
      <c r="G4" s="19"/>
      <c r="H4" s="36"/>
      <c r="I4" s="19"/>
      <c r="J4" s="19"/>
      <c r="K4">
        <v>1</v>
      </c>
      <c r="L4">
        <v>2</v>
      </c>
      <c r="M4">
        <v>0</v>
      </c>
      <c r="N4">
        <v>0</v>
      </c>
      <c r="O4">
        <v>2</v>
      </c>
      <c r="P4">
        <v>2</v>
      </c>
      <c r="Q4">
        <v>3</v>
      </c>
    </row>
    <row r="5" spans="1:26">
      <c r="A5" s="4" t="s">
        <v>12</v>
      </c>
      <c r="B5" s="4">
        <f t="shared" si="0"/>
        <v>12</v>
      </c>
      <c r="C5" s="4">
        <v>6</v>
      </c>
      <c r="D5" s="4">
        <f t="shared" si="2"/>
        <v>12</v>
      </c>
      <c r="E5" s="4">
        <f t="shared" si="1"/>
        <v>6</v>
      </c>
      <c r="F5" s="19"/>
      <c r="G5" s="19"/>
      <c r="H5" s="36"/>
      <c r="I5" s="19"/>
      <c r="J5" s="19"/>
      <c r="K5">
        <v>0</v>
      </c>
      <c r="L5">
        <v>1</v>
      </c>
      <c r="M5">
        <v>0</v>
      </c>
      <c r="N5">
        <v>1</v>
      </c>
      <c r="O5">
        <v>1</v>
      </c>
      <c r="P5">
        <v>1</v>
      </c>
      <c r="Q5">
        <v>2</v>
      </c>
    </row>
    <row r="6" spans="1:26">
      <c r="A6" s="4" t="s">
        <v>21</v>
      </c>
      <c r="B6" s="4">
        <f t="shared" si="0"/>
        <v>6</v>
      </c>
      <c r="C6" s="4">
        <v>4</v>
      </c>
      <c r="D6" s="4">
        <f t="shared" si="2"/>
        <v>6</v>
      </c>
      <c r="E6" s="4">
        <f t="shared" si="1"/>
        <v>2</v>
      </c>
      <c r="F6" s="19"/>
      <c r="G6" s="19"/>
      <c r="H6" s="36"/>
      <c r="I6" s="19"/>
      <c r="J6" s="19"/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1</v>
      </c>
    </row>
    <row r="7" spans="1:26">
      <c r="A7" s="4" t="s">
        <v>73</v>
      </c>
      <c r="B7" s="4">
        <f t="shared" si="0"/>
        <v>28</v>
      </c>
      <c r="C7" s="4">
        <v>11</v>
      </c>
      <c r="D7" s="4">
        <f t="shared" si="2"/>
        <v>28</v>
      </c>
      <c r="E7" s="4">
        <f t="shared" si="1"/>
        <v>17</v>
      </c>
      <c r="F7" s="19"/>
      <c r="G7" s="19"/>
      <c r="H7" s="36"/>
      <c r="I7" s="19"/>
      <c r="J7" s="19"/>
      <c r="K7">
        <v>2</v>
      </c>
      <c r="L7">
        <v>3</v>
      </c>
      <c r="M7">
        <v>3</v>
      </c>
      <c r="N7">
        <v>1</v>
      </c>
      <c r="O7">
        <v>4</v>
      </c>
      <c r="P7">
        <v>1</v>
      </c>
      <c r="Q7">
        <v>3</v>
      </c>
    </row>
    <row r="8" spans="1:26">
      <c r="A8" s="4" t="s">
        <v>38</v>
      </c>
      <c r="B8" s="4">
        <f t="shared" si="0"/>
        <v>3</v>
      </c>
      <c r="C8" s="4">
        <v>3</v>
      </c>
      <c r="D8" s="4">
        <f t="shared" si="2"/>
        <v>3</v>
      </c>
      <c r="E8" s="4">
        <f t="shared" si="1"/>
        <v>0</v>
      </c>
      <c r="F8" s="19"/>
      <c r="G8" s="19"/>
      <c r="H8" s="36"/>
      <c r="I8" s="19"/>
      <c r="J8" s="19"/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26">
      <c r="A9" s="4" t="s">
        <v>74</v>
      </c>
      <c r="B9" s="4">
        <f t="shared" si="0"/>
        <v>0</v>
      </c>
      <c r="C9" s="4">
        <v>0</v>
      </c>
      <c r="D9" s="4">
        <f t="shared" si="2"/>
        <v>0</v>
      </c>
      <c r="E9" s="4">
        <f t="shared" si="1"/>
        <v>0</v>
      </c>
      <c r="F9" s="19"/>
      <c r="G9" s="19"/>
      <c r="H9" s="36"/>
      <c r="I9" s="19"/>
      <c r="J9" s="19"/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26">
      <c r="A10" s="4" t="s">
        <v>75</v>
      </c>
      <c r="B10" s="5">
        <v>0</v>
      </c>
      <c r="C10" s="8">
        <v>138</v>
      </c>
      <c r="D10" s="8">
        <f t="shared" si="2"/>
        <v>251.48000000000002</v>
      </c>
      <c r="E10" s="4">
        <f t="shared" si="1"/>
        <v>113.48</v>
      </c>
      <c r="F10" s="19"/>
      <c r="G10" s="19"/>
      <c r="H10" s="36"/>
      <c r="I10" s="19"/>
      <c r="J10" s="19"/>
      <c r="K10">
        <v>15.06</v>
      </c>
      <c r="L10">
        <v>16.5</v>
      </c>
      <c r="M10">
        <v>13.36</v>
      </c>
      <c r="N10">
        <v>9.09</v>
      </c>
      <c r="O10">
        <v>18.25</v>
      </c>
      <c r="P10">
        <v>29.22</v>
      </c>
      <c r="Q10">
        <v>12</v>
      </c>
    </row>
    <row r="11" spans="1:26">
      <c r="A11" s="4" t="s">
        <v>78</v>
      </c>
      <c r="B11" s="5">
        <f>C11+SUM(F11:AI11)</f>
        <v>5</v>
      </c>
      <c r="C11" s="5">
        <v>4</v>
      </c>
      <c r="D11" s="5">
        <f t="shared" si="2"/>
        <v>5</v>
      </c>
      <c r="E11" s="4">
        <f t="shared" si="1"/>
        <v>1</v>
      </c>
      <c r="F11" s="19"/>
      <c r="G11" s="19"/>
      <c r="H11" s="36"/>
      <c r="I11" s="19"/>
      <c r="J11" s="19"/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</row>
    <row r="12" spans="1:26">
      <c r="A12" s="4" t="s">
        <v>79</v>
      </c>
      <c r="B12" s="5">
        <f>C12+SUM(F12:AI12)</f>
        <v>13</v>
      </c>
      <c r="C12" s="5">
        <v>6</v>
      </c>
      <c r="D12" s="5">
        <f t="shared" si="2"/>
        <v>13</v>
      </c>
      <c r="E12" s="4">
        <f t="shared" si="1"/>
        <v>7</v>
      </c>
      <c r="F12" s="19"/>
      <c r="G12" s="19"/>
      <c r="H12" s="36"/>
      <c r="I12" s="19"/>
      <c r="J12" s="19"/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5" spans="1:26" ht="15" customHeight="1">
      <c r="A15" s="3" t="s">
        <v>68</v>
      </c>
      <c r="B15" s="3" t="s">
        <v>71</v>
      </c>
      <c r="C15" s="3" t="s">
        <v>72</v>
      </c>
      <c r="D15" s="7">
        <v>46113</v>
      </c>
    </row>
    <row r="16" spans="1:26" ht="15" customHeight="1">
      <c r="A16" s="4" t="s">
        <v>35</v>
      </c>
      <c r="B16" s="12">
        <f>SUM(D16:BA16)</f>
        <v>0</v>
      </c>
      <c r="C16" s="4">
        <v>0</v>
      </c>
      <c r="D16" s="18"/>
    </row>
    <row r="17" spans="1:4" ht="15" customHeight="1">
      <c r="A17" s="4" t="s">
        <v>25</v>
      </c>
      <c r="B17" s="12">
        <f t="shared" ref="B17:B26" si="3">SUM(D17:BA17)</f>
        <v>0</v>
      </c>
      <c r="C17" s="4">
        <v>0</v>
      </c>
      <c r="D17" s="18"/>
    </row>
    <row r="18" spans="1:4" ht="15" customHeight="1">
      <c r="A18" s="4" t="s">
        <v>27</v>
      </c>
      <c r="B18" s="12">
        <f t="shared" si="3"/>
        <v>0</v>
      </c>
      <c r="C18" s="4">
        <v>0</v>
      </c>
      <c r="D18" s="18"/>
    </row>
    <row r="19" spans="1:4" ht="15" customHeight="1">
      <c r="A19" s="4" t="s">
        <v>12</v>
      </c>
      <c r="B19" s="12">
        <f t="shared" si="3"/>
        <v>0</v>
      </c>
      <c r="C19" s="4">
        <v>0</v>
      </c>
      <c r="D19" s="18"/>
    </row>
    <row r="20" spans="1:4" ht="15" customHeight="1">
      <c r="A20" s="4" t="s">
        <v>21</v>
      </c>
      <c r="B20" s="12">
        <f t="shared" si="3"/>
        <v>0</v>
      </c>
      <c r="C20" s="4">
        <v>0</v>
      </c>
      <c r="D20" s="18"/>
    </row>
    <row r="21" spans="1:4" ht="15" customHeight="1">
      <c r="A21" s="4" t="s">
        <v>73</v>
      </c>
      <c r="B21" s="12">
        <f t="shared" si="3"/>
        <v>0</v>
      </c>
      <c r="C21" s="4">
        <v>0</v>
      </c>
      <c r="D21" s="18"/>
    </row>
    <row r="22" spans="1:4" ht="15" customHeight="1">
      <c r="A22" s="4" t="s">
        <v>38</v>
      </c>
      <c r="B22" s="12">
        <f t="shared" si="3"/>
        <v>0</v>
      </c>
      <c r="C22" s="4">
        <v>0</v>
      </c>
      <c r="D22" s="18"/>
    </row>
    <row r="23" spans="1:4" ht="15" customHeight="1">
      <c r="A23" s="4" t="s">
        <v>74</v>
      </c>
      <c r="B23" s="12">
        <f t="shared" si="3"/>
        <v>0</v>
      </c>
      <c r="C23" s="4">
        <v>0</v>
      </c>
      <c r="D23" s="18"/>
    </row>
    <row r="24" spans="1:4" ht="15" customHeight="1">
      <c r="A24" s="4" t="s">
        <v>75</v>
      </c>
      <c r="B24" s="12">
        <f t="shared" si="3"/>
        <v>0</v>
      </c>
      <c r="C24" s="4">
        <v>0</v>
      </c>
      <c r="D24" s="18"/>
    </row>
    <row r="25" spans="1:4" ht="15" customHeight="1">
      <c r="A25" s="4" t="s">
        <v>78</v>
      </c>
      <c r="B25" s="12">
        <f t="shared" si="3"/>
        <v>0</v>
      </c>
      <c r="C25" s="4">
        <v>0</v>
      </c>
      <c r="D25" s="18"/>
    </row>
    <row r="26" spans="1:4" ht="15" customHeight="1">
      <c r="A26" s="4" t="s">
        <v>79</v>
      </c>
      <c r="B26" s="12">
        <f t="shared" si="3"/>
        <v>0</v>
      </c>
      <c r="C26" s="4">
        <v>0</v>
      </c>
      <c r="D26" s="18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964E6-7C0E-4D4F-B920-20A034D57886}">
  <dimension ref="A1:M12"/>
  <sheetViews>
    <sheetView workbookViewId="0">
      <selection activeCell="B12" sqref="B12"/>
    </sheetView>
  </sheetViews>
  <sheetFormatPr defaultRowHeight="14.45"/>
  <cols>
    <col min="1" max="1" width="21.28515625" style="4" customWidth="1"/>
    <col min="2" max="2" width="12.7109375" style="4" customWidth="1"/>
    <col min="3" max="6" width="8.7109375" style="4"/>
    <col min="7" max="8" width="9.140625" style="4"/>
  </cols>
  <sheetData>
    <row r="1" spans="1:13">
      <c r="A1" s="3" t="s">
        <v>133</v>
      </c>
      <c r="B1" s="3" t="s">
        <v>71</v>
      </c>
      <c r="C1" s="3" t="s">
        <v>11</v>
      </c>
      <c r="D1" s="3" t="s">
        <v>72</v>
      </c>
      <c r="E1" s="7">
        <v>45968</v>
      </c>
      <c r="F1" s="7">
        <v>45970</v>
      </c>
      <c r="G1" s="7">
        <v>45975</v>
      </c>
      <c r="H1" s="7">
        <v>45976</v>
      </c>
      <c r="I1" s="6">
        <v>45983</v>
      </c>
      <c r="J1" s="6">
        <v>45985</v>
      </c>
      <c r="K1" s="6"/>
      <c r="L1" s="6"/>
      <c r="M1" s="6"/>
    </row>
    <row r="2" spans="1:13">
      <c r="A2" s="4" t="s">
        <v>35</v>
      </c>
      <c r="B2" s="5">
        <f>+SUM(E2:AH2)</f>
        <v>127</v>
      </c>
      <c r="C2" s="4">
        <f t="shared" ref="C2:C9" si="0">SUM(E2:AH2)</f>
        <v>127</v>
      </c>
      <c r="D2" s="4">
        <f t="shared" ref="D2:D9" si="1">SUM(E2:AH2)</f>
        <v>127</v>
      </c>
      <c r="E2" s="4">
        <v>15</v>
      </c>
      <c r="F2" s="4">
        <v>25</v>
      </c>
      <c r="G2" s="4">
        <v>22</v>
      </c>
      <c r="H2" s="4">
        <v>26</v>
      </c>
      <c r="I2" s="4">
        <v>20</v>
      </c>
      <c r="J2" s="4">
        <v>19</v>
      </c>
    </row>
    <row r="3" spans="1:13">
      <c r="A3" s="4" t="s">
        <v>25</v>
      </c>
      <c r="B3" s="4">
        <f>+SUM(E3:AH3)</f>
        <v>63</v>
      </c>
      <c r="C3" s="4">
        <f t="shared" si="0"/>
        <v>63</v>
      </c>
      <c r="D3" s="4">
        <f t="shared" si="1"/>
        <v>63</v>
      </c>
      <c r="E3" s="4">
        <v>11</v>
      </c>
      <c r="F3" s="4">
        <v>13</v>
      </c>
      <c r="G3" s="4">
        <v>8</v>
      </c>
      <c r="H3" s="4">
        <v>8</v>
      </c>
      <c r="I3" s="4">
        <v>6</v>
      </c>
      <c r="J3" s="4">
        <v>17</v>
      </c>
    </row>
    <row r="4" spans="1:13">
      <c r="A4" s="4" t="s">
        <v>27</v>
      </c>
      <c r="B4" s="4">
        <f>+SUM(E4:AH4)</f>
        <v>19</v>
      </c>
      <c r="C4" s="4">
        <f t="shared" si="0"/>
        <v>19</v>
      </c>
      <c r="D4" s="4">
        <f t="shared" si="1"/>
        <v>19</v>
      </c>
      <c r="E4" s="4">
        <v>2</v>
      </c>
      <c r="F4" s="4">
        <v>2</v>
      </c>
      <c r="G4" s="4">
        <v>3</v>
      </c>
      <c r="H4" s="4">
        <v>2</v>
      </c>
      <c r="I4" s="4">
        <v>5</v>
      </c>
      <c r="J4" s="4">
        <v>5</v>
      </c>
    </row>
    <row r="5" spans="1:13">
      <c r="A5" s="4" t="s">
        <v>12</v>
      </c>
      <c r="B5" s="4">
        <f>+SUM(E5:AH5)</f>
        <v>4</v>
      </c>
      <c r="C5" s="4">
        <f t="shared" si="0"/>
        <v>4</v>
      </c>
      <c r="D5" s="4">
        <f t="shared" si="1"/>
        <v>4</v>
      </c>
      <c r="E5" s="4">
        <v>2</v>
      </c>
      <c r="F5" s="4">
        <v>1</v>
      </c>
      <c r="G5" s="4">
        <v>0</v>
      </c>
      <c r="H5" s="4">
        <v>0</v>
      </c>
      <c r="I5" s="4">
        <v>0</v>
      </c>
      <c r="J5" s="4">
        <v>1</v>
      </c>
    </row>
    <row r="6" spans="1:13">
      <c r="A6" s="4" t="s">
        <v>21</v>
      </c>
      <c r="B6" s="4">
        <f>+SUM(E6:AH6)</f>
        <v>8</v>
      </c>
      <c r="C6" s="4">
        <f t="shared" si="0"/>
        <v>8</v>
      </c>
      <c r="D6" s="4">
        <f t="shared" si="1"/>
        <v>8</v>
      </c>
      <c r="E6" s="4">
        <v>2</v>
      </c>
      <c r="F6" s="4">
        <v>1</v>
      </c>
      <c r="G6" s="4">
        <v>1</v>
      </c>
      <c r="H6" s="4">
        <v>1</v>
      </c>
      <c r="I6" s="4">
        <v>3</v>
      </c>
      <c r="J6" s="4">
        <v>0</v>
      </c>
    </row>
    <row r="7" spans="1:13">
      <c r="A7" s="4" t="s">
        <v>73</v>
      </c>
      <c r="B7" s="4">
        <f>+SUM(E7:AH7)</f>
        <v>45</v>
      </c>
      <c r="C7" s="4">
        <f t="shared" si="0"/>
        <v>45</v>
      </c>
      <c r="D7" s="4">
        <f t="shared" si="1"/>
        <v>45</v>
      </c>
      <c r="E7" s="4">
        <v>4</v>
      </c>
      <c r="F7" s="4">
        <v>10</v>
      </c>
      <c r="G7" s="4">
        <v>8</v>
      </c>
      <c r="H7" s="4">
        <v>10</v>
      </c>
      <c r="I7" s="4">
        <v>7</v>
      </c>
      <c r="J7" s="4">
        <v>6</v>
      </c>
    </row>
    <row r="8" spans="1:13">
      <c r="A8" s="4" t="s">
        <v>38</v>
      </c>
      <c r="B8" s="4">
        <f>+SUM(E8:AH8)</f>
        <v>13</v>
      </c>
      <c r="C8" s="4">
        <f t="shared" si="0"/>
        <v>13</v>
      </c>
      <c r="D8" s="4">
        <f t="shared" si="1"/>
        <v>13</v>
      </c>
      <c r="E8" s="4">
        <v>1</v>
      </c>
      <c r="F8" s="4">
        <v>2</v>
      </c>
      <c r="G8" s="4">
        <v>3</v>
      </c>
      <c r="H8" s="4">
        <v>4</v>
      </c>
      <c r="I8" s="4">
        <v>1</v>
      </c>
      <c r="J8" s="4">
        <v>2</v>
      </c>
    </row>
    <row r="9" spans="1:13">
      <c r="A9" s="4" t="s">
        <v>74</v>
      </c>
      <c r="B9" s="4">
        <f>+SUM(E9:AH9)</f>
        <v>3</v>
      </c>
      <c r="C9" s="4">
        <f t="shared" si="0"/>
        <v>3</v>
      </c>
      <c r="D9" s="4">
        <f t="shared" si="1"/>
        <v>3</v>
      </c>
      <c r="E9" s="4">
        <v>1</v>
      </c>
      <c r="F9" s="4">
        <v>1</v>
      </c>
      <c r="G9" s="4">
        <v>0</v>
      </c>
      <c r="H9" s="4">
        <v>0</v>
      </c>
      <c r="I9" s="4">
        <v>0</v>
      </c>
      <c r="J9" s="4">
        <v>1</v>
      </c>
    </row>
    <row r="10" spans="1:13">
      <c r="A10" s="4" t="s">
        <v>75</v>
      </c>
      <c r="B10" s="15">
        <f>+SUM(E10:AH10)</f>
        <v>137.66999999999999</v>
      </c>
      <c r="C10" s="17" t="s">
        <v>134</v>
      </c>
      <c r="D10" s="17" t="s">
        <v>134</v>
      </c>
      <c r="E10" s="10" t="s">
        <v>135</v>
      </c>
      <c r="F10" s="10" t="s">
        <v>136</v>
      </c>
      <c r="G10" s="4">
        <v>33.46</v>
      </c>
      <c r="H10" s="4">
        <v>32.47</v>
      </c>
      <c r="I10" s="4">
        <v>35.26</v>
      </c>
      <c r="J10" s="4">
        <v>36.479999999999997</v>
      </c>
    </row>
    <row r="11" spans="1:13">
      <c r="A11" s="4" t="s">
        <v>78</v>
      </c>
      <c r="B11" s="4">
        <f>+SUM(E11:AH11)</f>
        <v>14</v>
      </c>
      <c r="C11" s="4">
        <f>SUM(E11:AH11)</f>
        <v>14</v>
      </c>
      <c r="D11" s="4">
        <f>SUM(E11:AH11)</f>
        <v>14</v>
      </c>
      <c r="E11" s="4">
        <v>3</v>
      </c>
      <c r="F11" s="4">
        <v>2</v>
      </c>
      <c r="G11" s="4">
        <v>2</v>
      </c>
      <c r="H11" s="4">
        <v>1</v>
      </c>
      <c r="I11" s="4">
        <v>3</v>
      </c>
      <c r="J11" s="4">
        <v>3</v>
      </c>
    </row>
    <row r="12" spans="1:13">
      <c r="A12" s="4" t="s">
        <v>79</v>
      </c>
      <c r="B12" s="4">
        <f>+SUM(E12:AH12)</f>
        <v>6</v>
      </c>
      <c r="C12" s="4">
        <f>SUM(E12:AH12)</f>
        <v>6</v>
      </c>
      <c r="D12" s="4">
        <f>SUM(E12:AH12)</f>
        <v>6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Scotto</dc:creator>
  <cp:keywords/>
  <dc:description/>
  <cp:lastModifiedBy>Michael Scotto</cp:lastModifiedBy>
  <cp:revision/>
  <dcterms:created xsi:type="dcterms:W3CDTF">2025-11-12T14:50:53Z</dcterms:created>
  <dcterms:modified xsi:type="dcterms:W3CDTF">2026-05-12T15:50:43Z</dcterms:modified>
  <cp:category/>
  <cp:contentStatus/>
</cp:coreProperties>
</file>